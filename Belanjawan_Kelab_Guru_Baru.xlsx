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Transaksi" sheetId="2" state="visible" r:id="rId2"/>
    <sheet xmlns:r="http://schemas.openxmlformats.org/officeDocument/2006/relationships" name="Yuran Ahli" sheetId="3" state="visible" r:id="rId3"/>
    <sheet xmlns:r="http://schemas.openxmlformats.org/officeDocument/2006/relationships" name="Tetapan" sheetId="4" state="visible" r:id="rId4"/>
  </sheets>
  <definedNames>
    <definedName name="_xlnm._FilterDatabase" localSheetId="1" hidden="1">'Transaksi'!$A$1:$H$3000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mm yyyy"/>
    <numFmt numFmtId="166" formatCode="&quot;RM&quot;#,##0.00;[Red]-&quot;RM&quot;#,##0.00"/>
    <numFmt numFmtId="167" formatCode="dd mmm yyyy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color rgb="00CCFBF1"/>
      <sz val="10"/>
    </font>
    <font>
      <name val="Arial"/>
      <b val="1"/>
      <color rgb="00FFFFFF"/>
      <sz val="10"/>
    </font>
    <font>
      <name val="Arial"/>
      <color rgb="000F172A"/>
      <sz val="10"/>
    </font>
    <font>
      <name val="Arial"/>
      <b val="1"/>
      <color rgb="000F172A"/>
      <sz val="10"/>
    </font>
    <font>
      <name val="Arial"/>
      <i val="1"/>
      <color rgb="0064748B"/>
      <sz val="10"/>
    </font>
    <font>
      <name val="Arial"/>
      <color rgb="0064748B"/>
      <sz val="10"/>
    </font>
    <font>
      <name val="Arial"/>
      <b val="1"/>
      <color rgb="0064748B"/>
      <sz val="9"/>
    </font>
    <font>
      <name val="Arial"/>
      <b val="1"/>
      <color rgb="000F766E"/>
      <sz val="18"/>
    </font>
    <font>
      <name val="Arial"/>
      <b val="1"/>
      <color rgb="0015803D"/>
      <sz val="18"/>
    </font>
    <font>
      <name val="Arial"/>
      <b val="1"/>
      <color rgb="00B91C1C"/>
      <sz val="18"/>
    </font>
    <font>
      <name val="Arial"/>
      <b val="1"/>
      <color rgb="00B45309"/>
      <sz val="18"/>
    </font>
    <font>
      <name val="Arial"/>
      <b val="1"/>
      <color rgb="00134E4A"/>
      <sz val="13"/>
    </font>
    <font>
      <name val="Arial"/>
      <color rgb="0015803D"/>
      <sz val="10"/>
    </font>
    <font>
      <name val="Arial"/>
      <color rgb="00B91C1C"/>
      <sz val="10"/>
    </font>
  </fonts>
  <fills count="8">
    <fill>
      <patternFill/>
    </fill>
    <fill>
      <patternFill patternType="gray125"/>
    </fill>
    <fill>
      <patternFill patternType="solid">
        <fgColor rgb="000F766E"/>
        <bgColor rgb="000F766E"/>
      </patternFill>
    </fill>
    <fill>
      <patternFill patternType="solid">
        <fgColor rgb="00134E4A"/>
        <bgColor rgb="00134E4A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F1F5F9"/>
        <bgColor rgb="00F1F5F9"/>
      </patternFill>
    </fill>
    <fill>
      <patternFill patternType="solid">
        <fgColor rgb="00F0FDFA"/>
        <bgColor rgb="00F0FDFA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E2E8F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2" borderId="0" applyAlignment="1" pivotButton="0" quotePrefix="0" xfId="0">
      <alignment vertical="center" indent="1"/>
    </xf>
    <xf numFmtId="0" fontId="8" fillId="6" borderId="0" applyAlignment="1" pivotButton="0" quotePrefix="0" xfId="0">
      <alignment vertical="bottom" indent="1"/>
    </xf>
    <xf numFmtId="0" fontId="0" fillId="6" borderId="0" pivotButton="0" quotePrefix="0" xfId="0"/>
    <xf numFmtId="166" fontId="9" fillId="6" borderId="0" applyAlignment="1" pivotButton="0" quotePrefix="0" xfId="0">
      <alignment horizontal="left" vertical="center" indent="1"/>
    </xf>
    <xf numFmtId="166" fontId="10" fillId="6" borderId="0" applyAlignment="1" pivotButton="0" quotePrefix="0" xfId="0">
      <alignment horizontal="left" vertical="center" indent="1"/>
    </xf>
    <xf numFmtId="166" fontId="11" fillId="6" borderId="0" applyAlignment="1" pivotButton="0" quotePrefix="0" xfId="0">
      <alignment horizontal="left" vertical="center" indent="1"/>
    </xf>
    <xf numFmtId="166" fontId="12" fillId="6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5" fontId="4" fillId="0" borderId="2" pivotButton="0" quotePrefix="0" xfId="0"/>
    <xf numFmtId="166" fontId="14" fillId="0" borderId="2" pivotButton="0" quotePrefix="0" xfId="0"/>
    <xf numFmtId="166" fontId="15" fillId="0" borderId="2" pivotButton="0" quotePrefix="0" xfId="0"/>
    <xf numFmtId="166" fontId="4" fillId="0" borderId="2" pivotButton="0" quotePrefix="0" xfId="0"/>
    <xf numFmtId="166" fontId="5" fillId="0" borderId="2" pivotButton="0" quotePrefix="0" xfId="0"/>
    <xf numFmtId="0" fontId="4" fillId="0" borderId="2" pivotButton="0" quotePrefix="0" xfId="0"/>
    <xf numFmtId="9" fontId="4" fillId="0" borderId="2" pivotButton="0" quotePrefix="0" xfId="0"/>
    <xf numFmtId="0" fontId="5" fillId="7" borderId="0" pivotButton="0" quotePrefix="0" xfId="0"/>
    <xf numFmtId="166" fontId="5" fillId="7" borderId="0" pivotButton="0" quotePrefix="0" xfId="0"/>
    <xf numFmtId="0" fontId="0" fillId="7" borderId="0" pivotButton="0" quotePrefix="0" xfId="0"/>
    <xf numFmtId="0" fontId="7" fillId="0" borderId="2" pivotButton="0" quotePrefix="0" xfId="0"/>
    <xf numFmtId="167" fontId="4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166" fontId="7" fillId="0" borderId="2" pivotButton="0" quotePrefix="0" xfId="0"/>
    <xf numFmtId="0" fontId="7" fillId="5" borderId="2" pivotButton="0" quotePrefix="0" xfId="0"/>
    <xf numFmtId="167" fontId="4" fillId="5" borderId="2" applyAlignment="1" pivotButton="0" quotePrefix="0" xfId="0">
      <alignment horizontal="left"/>
    </xf>
    <xf numFmtId="0" fontId="4" fillId="5" borderId="2" applyAlignment="1" pivotButton="0" quotePrefix="0" xfId="0">
      <alignment horizontal="center"/>
    </xf>
    <xf numFmtId="0" fontId="4" fillId="5" borderId="2" pivotButton="0" quotePrefix="0" xfId="0"/>
    <xf numFmtId="166" fontId="4" fillId="5" borderId="2" pivotButton="0" quotePrefix="0" xfId="0"/>
    <xf numFmtId="166" fontId="7" fillId="5" borderId="2" pivotButton="0" quotePrefix="0" xfId="0"/>
    <xf numFmtId="0" fontId="5" fillId="0" borderId="1" pivotButton="0" quotePrefix="0" xfId="0"/>
    <xf numFmtId="166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165" fontId="4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B91C1C"/>
      </font>
    </dxf>
    <dxf>
      <font>
        <name val="Arial"/>
        <b val="1"/>
        <color rgb="0015803D"/>
      </font>
      <fill>
        <patternFill patternType="solid">
          <fgColor rgb="00DCFCE7"/>
          <bgColor rgb="00DCFCE7"/>
        </patternFill>
      </fill>
    </dxf>
    <dxf>
      <font>
        <name val="Arial"/>
        <b val="1"/>
        <color rgb="00B91C1C"/>
      </font>
      <fill>
        <patternFill patternType="solid">
          <fgColor rgb="00FEE2E2"/>
          <bgColor rgb="00FEE2E2"/>
        </patternFill>
      </fill>
    </dxf>
    <dxf>
      <font>
        <name val="Arial"/>
        <color rgb="00B91C1C"/>
      </font>
    </dxf>
    <dxf>
      <font>
        <name val="Arial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Masuk vs Keluar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'Ringkasan'!B8</f>
            </strRef>
          </tx>
          <spPr>
            <a:solidFill xmlns:a="http://schemas.openxmlformats.org/drawingml/2006/main">
              <a:srgbClr val="15803D"/>
            </a:solidFill>
            <a:ln xmlns:a="http://schemas.openxmlformats.org/drawingml/2006/main">
              <a:prstDash val="solid"/>
            </a:ln>
          </spPr>
          <cat>
            <numRef>
              <f>'Ringkasan'!$A$9:$A$27</f>
            </numRef>
          </cat>
          <val>
            <numRef>
              <f>'Ringkasan'!$B$9:$B$27</f>
            </numRef>
          </val>
        </ser>
        <ser>
          <idx val="1"/>
          <order val="1"/>
          <tx>
            <strRef>
              <f>'Ringkasan'!C8</f>
            </strRef>
          </tx>
          <spPr>
            <a:solidFill xmlns:a="http://schemas.openxmlformats.org/drawingml/2006/main">
              <a:srgbClr val="B91C1C"/>
            </a:solidFill>
            <a:ln xmlns:a="http://schemas.openxmlformats.org/drawingml/2006/main">
              <a:prstDash val="solid"/>
            </a:ln>
          </spPr>
          <cat>
            <numRef>
              <f>'Ringkasan'!$A$9:$A$27</f>
            </numRef>
          </cat>
          <val>
            <numRef>
              <f>'Ringkasan'!$C$9:$C$27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Baki akhir</a:t>
            </a:r>
          </a:p>
        </rich>
      </tx>
    </title>
    <plotArea>
      <lineChart>
        <grouping val="standard"/>
        <ser>
          <idx val="0"/>
          <order val="0"/>
          <tx>
            <strRef>
              <f>'Ringkasan'!E8</f>
            </strRef>
          </tx>
          <spPr>
            <a:ln xmlns:a="http://schemas.openxmlformats.org/drawingml/2006/main" w="28000">
              <a:solidFill>
                <a:srgbClr val="0F76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'Ringkasan'!$A$9:$A$27</f>
            </numRef>
          </cat>
          <val>
            <numRef>
              <f>'Ringkasan'!$E$9:$E$27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34</row>
      <rowOff>0</rowOff>
    </from>
    <ext cx="612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766E"/>
    <outlinePr summaryBelow="1" summaryRight="1"/>
    <pageSetUpPr/>
  </sheetPr>
  <dimension ref="A1:L2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5" customWidth="1" min="3" max="3"/>
    <col width="15" customWidth="1" min="4" max="4"/>
    <col width="16" customWidth="1" min="5" max="5"/>
    <col width="3" customWidth="1" min="6" max="6"/>
    <col width="24" customWidth="1" min="7" max="7"/>
    <col width="15" customWidth="1" min="8" max="8"/>
    <col width="8" customWidth="1" min="9" max="9"/>
  </cols>
  <sheetData>
    <row r="1" ht="36" customHeight="1">
      <c r="A1" s="1" t="inlineStr">
        <is>
          <t>Belanjawan Kelab Guru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0" customHeight="1">
      <c r="A2" s="3" t="inlineStr">
        <is>
          <t>Ringkasan kewangan - dikemas kini automatik daripada helaian Transaksi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 ht="22" customHeight="1">
      <c r="A4" s="4" t="inlineStr">
        <is>
          <t>BAKI SEMASA</t>
        </is>
      </c>
      <c r="B4" s="5" t="n"/>
      <c r="D4" s="4" t="inlineStr">
        <is>
          <t>JUMLAH MASUK</t>
        </is>
      </c>
      <c r="E4" s="5" t="n"/>
      <c r="G4" s="4" t="inlineStr">
        <is>
          <t>JUMLAH KELUAR</t>
        </is>
      </c>
      <c r="H4" s="5" t="n"/>
      <c r="J4" s="4" t="inlineStr">
        <is>
          <t>BULAN INI (BERSIH)</t>
        </is>
      </c>
      <c r="K4" s="5" t="n"/>
    </row>
    <row r="5" ht="34" customHeight="1">
      <c r="A5" s="6">
        <f>SUMIF(Transaksi!C:C,"Masuk",Transaksi!G:G)-SUMIF(Transaksi!C:C,"Keluar",Transaksi!G:G)</f>
        <v/>
      </c>
      <c r="B5" s="5" t="n"/>
      <c r="D5" s="7">
        <f>SUMIF(Transaksi!C:C,"Masuk",Transaksi!G:G)</f>
        <v/>
      </c>
      <c r="E5" s="5" t="n"/>
      <c r="G5" s="8">
        <f>SUMIF(Transaksi!C:C,"Keluar",Transaksi!G:G)</f>
        <v/>
      </c>
      <c r="H5" s="5" t="n"/>
      <c r="J5" s="9">
        <f>SUMIFS(Transaksi!G:G,Transaksi!C:C,"Masuk",Transaksi!B:B,"&gt;="&amp;DATE(YEAR(TODAY()),MONTH(TODAY()),1))-SUMIFS(Transaksi!G:G,Transaksi!C:C,"Keluar",Transaksi!B:B,"&gt;="&amp;DATE(YEAR(TODAY()),MONTH(TODAY()),1))</f>
        <v/>
      </c>
      <c r="K5" s="5" t="n"/>
    </row>
    <row r="7">
      <c r="A7" s="10" t="inlineStr">
        <is>
          <t>Pergerakan bulanan</t>
        </is>
      </c>
      <c r="G7" s="10" t="inlineStr">
        <is>
          <t>Perbelanjaan mengikut kategori</t>
        </is>
      </c>
    </row>
    <row r="8" ht="26" customHeight="1">
      <c r="A8" s="11" t="inlineStr">
        <is>
          <t>Bulan</t>
        </is>
      </c>
      <c r="B8" s="11" t="inlineStr">
        <is>
          <t>Masuk</t>
        </is>
      </c>
      <c r="C8" s="11" t="inlineStr">
        <is>
          <t>Keluar</t>
        </is>
      </c>
      <c r="D8" s="11" t="inlineStr">
        <is>
          <t>Bersih</t>
        </is>
      </c>
      <c r="E8" s="11" t="inlineStr">
        <is>
          <t>Baki akhir</t>
        </is>
      </c>
      <c r="G8" s="11" t="inlineStr">
        <is>
          <t>Kategori</t>
        </is>
      </c>
      <c r="H8" s="11" t="inlineStr">
        <is>
          <t>Jumlah</t>
        </is>
      </c>
      <c r="I8" s="11" t="inlineStr">
        <is>
          <t>%</t>
        </is>
      </c>
    </row>
    <row r="9">
      <c r="A9" s="12">
        <f>EDATE(Tetapan!$B$22,0)</f>
        <v/>
      </c>
      <c r="B9" s="13">
        <f>SUMIFS(Transaksi!G:G,Transaksi!C:C,"Masuk",Transaksi!B:B,"&gt;="&amp;A9,Transaksi!B:B,"&lt;"&amp;EDATE(A9,1))</f>
        <v/>
      </c>
      <c r="C9" s="14">
        <f>SUMIFS(Transaksi!G:G,Transaksi!C:C,"Keluar",Transaksi!B:B,"&gt;="&amp;A9,Transaksi!B:B,"&lt;"&amp;EDATE(A9,1))</f>
        <v/>
      </c>
      <c r="D9" s="15">
        <f>B9-C9</f>
        <v/>
      </c>
      <c r="E9" s="16">
        <f>SUM(D$9:D9)</f>
        <v/>
      </c>
      <c r="G9" s="17">
        <f>Tetapan!J5</f>
        <v/>
      </c>
      <c r="H9" s="15">
        <f>SUMIFS(Transaksi!G:G,Transaksi!C:C,"Keluar",Transaksi!D:D,G9)</f>
        <v/>
      </c>
      <c r="I9" s="18">
        <f>IF($C$28=0,0,H9/$C$28)</f>
        <v/>
      </c>
    </row>
    <row r="10">
      <c r="A10" s="12">
        <f>EDATE(Tetapan!$B$22,1)</f>
        <v/>
      </c>
      <c r="B10" s="13">
        <f>SUMIFS(Transaksi!G:G,Transaksi!C:C,"Masuk",Transaksi!B:B,"&gt;="&amp;A10,Transaksi!B:B,"&lt;"&amp;EDATE(A10,1))</f>
        <v/>
      </c>
      <c r="C10" s="14">
        <f>SUMIFS(Transaksi!G:G,Transaksi!C:C,"Keluar",Transaksi!B:B,"&gt;="&amp;A10,Transaksi!B:B,"&lt;"&amp;EDATE(A10,1))</f>
        <v/>
      </c>
      <c r="D10" s="15">
        <f>B10-C10</f>
        <v/>
      </c>
      <c r="E10" s="16">
        <f>SUM(D$9:D10)</f>
        <v/>
      </c>
      <c r="G10" s="17">
        <f>Tetapan!J6</f>
        <v/>
      </c>
      <c r="H10" s="15">
        <f>SUMIFS(Transaksi!G:G,Transaksi!C:C,"Keluar",Transaksi!D:D,G10)</f>
        <v/>
      </c>
      <c r="I10" s="18">
        <f>IF($C$28=0,0,H10/$C$28)</f>
        <v/>
      </c>
    </row>
    <row r="11">
      <c r="A11" s="12">
        <f>EDATE(Tetapan!$B$22,2)</f>
        <v/>
      </c>
      <c r="B11" s="13">
        <f>SUMIFS(Transaksi!G:G,Transaksi!C:C,"Masuk",Transaksi!B:B,"&gt;="&amp;A11,Transaksi!B:B,"&lt;"&amp;EDATE(A11,1))</f>
        <v/>
      </c>
      <c r="C11" s="14">
        <f>SUMIFS(Transaksi!G:G,Transaksi!C:C,"Keluar",Transaksi!B:B,"&gt;="&amp;A11,Transaksi!B:B,"&lt;"&amp;EDATE(A11,1))</f>
        <v/>
      </c>
      <c r="D11" s="15">
        <f>B11-C11</f>
        <v/>
      </c>
      <c r="E11" s="16">
        <f>SUM(D$9:D11)</f>
        <v/>
      </c>
      <c r="G11" s="17">
        <f>Tetapan!J7</f>
        <v/>
      </c>
      <c r="H11" s="15">
        <f>SUMIFS(Transaksi!G:G,Transaksi!C:C,"Keluar",Transaksi!D:D,G11)</f>
        <v/>
      </c>
      <c r="I11" s="18">
        <f>IF($C$28=0,0,H11/$C$28)</f>
        <v/>
      </c>
    </row>
    <row r="12">
      <c r="A12" s="12">
        <f>EDATE(Tetapan!$B$22,3)</f>
        <v/>
      </c>
      <c r="B12" s="13">
        <f>SUMIFS(Transaksi!G:G,Transaksi!C:C,"Masuk",Transaksi!B:B,"&gt;="&amp;A12,Transaksi!B:B,"&lt;"&amp;EDATE(A12,1))</f>
        <v/>
      </c>
      <c r="C12" s="14">
        <f>SUMIFS(Transaksi!G:G,Transaksi!C:C,"Keluar",Transaksi!B:B,"&gt;="&amp;A12,Transaksi!B:B,"&lt;"&amp;EDATE(A12,1))</f>
        <v/>
      </c>
      <c r="D12" s="15">
        <f>B12-C12</f>
        <v/>
      </c>
      <c r="E12" s="16">
        <f>SUM(D$9:D12)</f>
        <v/>
      </c>
      <c r="G12" s="17">
        <f>Tetapan!J8</f>
        <v/>
      </c>
      <c r="H12" s="15">
        <f>SUMIFS(Transaksi!G:G,Transaksi!C:C,"Keluar",Transaksi!D:D,G12)</f>
        <v/>
      </c>
      <c r="I12" s="18">
        <f>IF($C$28=0,0,H12/$C$28)</f>
        <v/>
      </c>
    </row>
    <row r="13">
      <c r="A13" s="12">
        <f>EDATE(Tetapan!$B$22,4)</f>
        <v/>
      </c>
      <c r="B13" s="13">
        <f>SUMIFS(Transaksi!G:G,Transaksi!C:C,"Masuk",Transaksi!B:B,"&gt;="&amp;A13,Transaksi!B:B,"&lt;"&amp;EDATE(A13,1))</f>
        <v/>
      </c>
      <c r="C13" s="14">
        <f>SUMIFS(Transaksi!G:G,Transaksi!C:C,"Keluar",Transaksi!B:B,"&gt;="&amp;A13,Transaksi!B:B,"&lt;"&amp;EDATE(A13,1))</f>
        <v/>
      </c>
      <c r="D13" s="15">
        <f>B13-C13</f>
        <v/>
      </c>
      <c r="E13" s="16">
        <f>SUM(D$9:D13)</f>
        <v/>
      </c>
      <c r="G13" s="17">
        <f>Tetapan!J9</f>
        <v/>
      </c>
      <c r="H13" s="15">
        <f>SUMIFS(Transaksi!G:G,Transaksi!C:C,"Keluar",Transaksi!D:D,G13)</f>
        <v/>
      </c>
      <c r="I13" s="18">
        <f>IF($C$28=0,0,H13/$C$28)</f>
        <v/>
      </c>
    </row>
    <row r="14">
      <c r="A14" s="12">
        <f>EDATE(Tetapan!$B$22,5)</f>
        <v/>
      </c>
      <c r="B14" s="13">
        <f>SUMIFS(Transaksi!G:G,Transaksi!C:C,"Masuk",Transaksi!B:B,"&gt;="&amp;A14,Transaksi!B:B,"&lt;"&amp;EDATE(A14,1))</f>
        <v/>
      </c>
      <c r="C14" s="14">
        <f>SUMIFS(Transaksi!G:G,Transaksi!C:C,"Keluar",Transaksi!B:B,"&gt;="&amp;A14,Transaksi!B:B,"&lt;"&amp;EDATE(A14,1))</f>
        <v/>
      </c>
      <c r="D14" s="15">
        <f>B14-C14</f>
        <v/>
      </c>
      <c r="E14" s="16">
        <f>SUM(D$9:D14)</f>
        <v/>
      </c>
      <c r="G14" s="17">
        <f>Tetapan!J10</f>
        <v/>
      </c>
      <c r="H14" s="15">
        <f>SUMIFS(Transaksi!G:G,Transaksi!C:C,"Keluar",Transaksi!D:D,G14)</f>
        <v/>
      </c>
      <c r="I14" s="18">
        <f>IF($C$28=0,0,H14/$C$28)</f>
        <v/>
      </c>
    </row>
    <row r="15">
      <c r="A15" s="12">
        <f>EDATE(Tetapan!$B$22,6)</f>
        <v/>
      </c>
      <c r="B15" s="13">
        <f>SUMIFS(Transaksi!G:G,Transaksi!C:C,"Masuk",Transaksi!B:B,"&gt;="&amp;A15,Transaksi!B:B,"&lt;"&amp;EDATE(A15,1))</f>
        <v/>
      </c>
      <c r="C15" s="14">
        <f>SUMIFS(Transaksi!G:G,Transaksi!C:C,"Keluar",Transaksi!B:B,"&gt;="&amp;A15,Transaksi!B:B,"&lt;"&amp;EDATE(A15,1))</f>
        <v/>
      </c>
      <c r="D15" s="15">
        <f>B15-C15</f>
        <v/>
      </c>
      <c r="E15" s="16">
        <f>SUM(D$9:D15)</f>
        <v/>
      </c>
      <c r="G15" s="17">
        <f>Tetapan!J11</f>
        <v/>
      </c>
      <c r="H15" s="15">
        <f>SUMIFS(Transaksi!G:G,Transaksi!C:C,"Keluar",Transaksi!D:D,G15)</f>
        <v/>
      </c>
      <c r="I15" s="18">
        <f>IF($C$28=0,0,H15/$C$28)</f>
        <v/>
      </c>
    </row>
    <row r="16">
      <c r="A16" s="12">
        <f>EDATE(Tetapan!$B$22,7)</f>
        <v/>
      </c>
      <c r="B16" s="13">
        <f>SUMIFS(Transaksi!G:G,Transaksi!C:C,"Masuk",Transaksi!B:B,"&gt;="&amp;A16,Transaksi!B:B,"&lt;"&amp;EDATE(A16,1))</f>
        <v/>
      </c>
      <c r="C16" s="14">
        <f>SUMIFS(Transaksi!G:G,Transaksi!C:C,"Keluar",Transaksi!B:B,"&gt;="&amp;A16,Transaksi!B:B,"&lt;"&amp;EDATE(A16,1))</f>
        <v/>
      </c>
      <c r="D16" s="15">
        <f>B16-C16</f>
        <v/>
      </c>
      <c r="E16" s="16">
        <f>SUM(D$9:D16)</f>
        <v/>
      </c>
    </row>
    <row r="17">
      <c r="A17" s="12">
        <f>EDATE(Tetapan!$B$22,8)</f>
        <v/>
      </c>
      <c r="B17" s="13">
        <f>SUMIFS(Transaksi!G:G,Transaksi!C:C,"Masuk",Transaksi!B:B,"&gt;="&amp;A17,Transaksi!B:B,"&lt;"&amp;EDATE(A17,1))</f>
        <v/>
      </c>
      <c r="C17" s="14">
        <f>SUMIFS(Transaksi!G:G,Transaksi!C:C,"Keluar",Transaksi!B:B,"&gt;="&amp;A17,Transaksi!B:B,"&lt;"&amp;EDATE(A17,1))</f>
        <v/>
      </c>
      <c r="D17" s="15">
        <f>B17-C17</f>
        <v/>
      </c>
      <c r="E17" s="16">
        <f>SUM(D$9:D17)</f>
        <v/>
      </c>
    </row>
    <row r="18">
      <c r="A18" s="12">
        <f>EDATE(Tetapan!$B$22,9)</f>
        <v/>
      </c>
      <c r="B18" s="13">
        <f>SUMIFS(Transaksi!G:G,Transaksi!C:C,"Masuk",Transaksi!B:B,"&gt;="&amp;A18,Transaksi!B:B,"&lt;"&amp;EDATE(A18,1))</f>
        <v/>
      </c>
      <c r="C18" s="14">
        <f>SUMIFS(Transaksi!G:G,Transaksi!C:C,"Keluar",Transaksi!B:B,"&gt;="&amp;A18,Transaksi!B:B,"&lt;"&amp;EDATE(A18,1))</f>
        <v/>
      </c>
      <c r="D18" s="15">
        <f>B18-C18</f>
        <v/>
      </c>
      <c r="E18" s="16">
        <f>SUM(D$9:D18)</f>
        <v/>
      </c>
    </row>
    <row r="19">
      <c r="A19" s="12">
        <f>EDATE(Tetapan!$B$22,10)</f>
        <v/>
      </c>
      <c r="B19" s="13">
        <f>SUMIFS(Transaksi!G:G,Transaksi!C:C,"Masuk",Transaksi!B:B,"&gt;="&amp;A19,Transaksi!B:B,"&lt;"&amp;EDATE(A19,1))</f>
        <v/>
      </c>
      <c r="C19" s="14">
        <f>SUMIFS(Transaksi!G:G,Transaksi!C:C,"Keluar",Transaksi!B:B,"&gt;="&amp;A19,Transaksi!B:B,"&lt;"&amp;EDATE(A19,1))</f>
        <v/>
      </c>
      <c r="D19" s="15">
        <f>B19-C19</f>
        <v/>
      </c>
      <c r="E19" s="16">
        <f>SUM(D$9:D19)</f>
        <v/>
      </c>
    </row>
    <row r="20">
      <c r="A20" s="12">
        <f>EDATE(Tetapan!$B$22,11)</f>
        <v/>
      </c>
      <c r="B20" s="13">
        <f>SUMIFS(Transaksi!G:G,Transaksi!C:C,"Masuk",Transaksi!B:B,"&gt;="&amp;A20,Transaksi!B:B,"&lt;"&amp;EDATE(A20,1))</f>
        <v/>
      </c>
      <c r="C20" s="14">
        <f>SUMIFS(Transaksi!G:G,Transaksi!C:C,"Keluar",Transaksi!B:B,"&gt;="&amp;A20,Transaksi!B:B,"&lt;"&amp;EDATE(A20,1))</f>
        <v/>
      </c>
      <c r="D20" s="15">
        <f>B20-C20</f>
        <v/>
      </c>
      <c r="E20" s="16">
        <f>SUM(D$9:D20)</f>
        <v/>
      </c>
    </row>
    <row r="21">
      <c r="A21" s="12">
        <f>EDATE(Tetapan!$B$22,12)</f>
        <v/>
      </c>
      <c r="B21" s="13">
        <f>SUMIFS(Transaksi!G:G,Transaksi!C:C,"Masuk",Transaksi!B:B,"&gt;="&amp;A21,Transaksi!B:B,"&lt;"&amp;EDATE(A21,1))</f>
        <v/>
      </c>
      <c r="C21" s="14">
        <f>SUMIFS(Transaksi!G:G,Transaksi!C:C,"Keluar",Transaksi!B:B,"&gt;="&amp;A21,Transaksi!B:B,"&lt;"&amp;EDATE(A21,1))</f>
        <v/>
      </c>
      <c r="D21" s="15">
        <f>B21-C21</f>
        <v/>
      </c>
      <c r="E21" s="16">
        <f>SUM(D$9:D21)</f>
        <v/>
      </c>
    </row>
    <row r="22">
      <c r="A22" s="12">
        <f>EDATE(Tetapan!$B$22,13)</f>
        <v/>
      </c>
      <c r="B22" s="13">
        <f>SUMIFS(Transaksi!G:G,Transaksi!C:C,"Masuk",Transaksi!B:B,"&gt;="&amp;A22,Transaksi!B:B,"&lt;"&amp;EDATE(A22,1))</f>
        <v/>
      </c>
      <c r="C22" s="14">
        <f>SUMIFS(Transaksi!G:G,Transaksi!C:C,"Keluar",Transaksi!B:B,"&gt;="&amp;A22,Transaksi!B:B,"&lt;"&amp;EDATE(A22,1))</f>
        <v/>
      </c>
      <c r="D22" s="15">
        <f>B22-C22</f>
        <v/>
      </c>
      <c r="E22" s="16">
        <f>SUM(D$9:D22)</f>
        <v/>
      </c>
    </row>
    <row r="23">
      <c r="A23" s="12">
        <f>EDATE(Tetapan!$B$22,14)</f>
        <v/>
      </c>
      <c r="B23" s="13">
        <f>SUMIFS(Transaksi!G:G,Transaksi!C:C,"Masuk",Transaksi!B:B,"&gt;="&amp;A23,Transaksi!B:B,"&lt;"&amp;EDATE(A23,1))</f>
        <v/>
      </c>
      <c r="C23" s="14">
        <f>SUMIFS(Transaksi!G:G,Transaksi!C:C,"Keluar",Transaksi!B:B,"&gt;="&amp;A23,Transaksi!B:B,"&lt;"&amp;EDATE(A23,1))</f>
        <v/>
      </c>
      <c r="D23" s="15">
        <f>B23-C23</f>
        <v/>
      </c>
      <c r="E23" s="16">
        <f>SUM(D$9:D23)</f>
        <v/>
      </c>
    </row>
    <row r="24">
      <c r="A24" s="12">
        <f>EDATE(Tetapan!$B$22,15)</f>
        <v/>
      </c>
      <c r="B24" s="13">
        <f>SUMIFS(Transaksi!G:G,Transaksi!C:C,"Masuk",Transaksi!B:B,"&gt;="&amp;A24,Transaksi!B:B,"&lt;"&amp;EDATE(A24,1))</f>
        <v/>
      </c>
      <c r="C24" s="14">
        <f>SUMIFS(Transaksi!G:G,Transaksi!C:C,"Keluar",Transaksi!B:B,"&gt;="&amp;A24,Transaksi!B:B,"&lt;"&amp;EDATE(A24,1))</f>
        <v/>
      </c>
      <c r="D24" s="15">
        <f>B24-C24</f>
        <v/>
      </c>
      <c r="E24" s="16">
        <f>SUM(D$9:D24)</f>
        <v/>
      </c>
    </row>
    <row r="25">
      <c r="A25" s="12">
        <f>EDATE(Tetapan!$B$22,16)</f>
        <v/>
      </c>
      <c r="B25" s="13">
        <f>SUMIFS(Transaksi!G:G,Transaksi!C:C,"Masuk",Transaksi!B:B,"&gt;="&amp;A25,Transaksi!B:B,"&lt;"&amp;EDATE(A25,1))</f>
        <v/>
      </c>
      <c r="C25" s="14">
        <f>SUMIFS(Transaksi!G:G,Transaksi!C:C,"Keluar",Transaksi!B:B,"&gt;="&amp;A25,Transaksi!B:B,"&lt;"&amp;EDATE(A25,1))</f>
        <v/>
      </c>
      <c r="D25" s="15">
        <f>B25-C25</f>
        <v/>
      </c>
      <c r="E25" s="16">
        <f>SUM(D$9:D25)</f>
        <v/>
      </c>
    </row>
    <row r="26">
      <c r="A26" s="12">
        <f>EDATE(Tetapan!$B$22,17)</f>
        <v/>
      </c>
      <c r="B26" s="13">
        <f>SUMIFS(Transaksi!G:G,Transaksi!C:C,"Masuk",Transaksi!B:B,"&gt;="&amp;A26,Transaksi!B:B,"&lt;"&amp;EDATE(A26,1))</f>
        <v/>
      </c>
      <c r="C26" s="14">
        <f>SUMIFS(Transaksi!G:G,Transaksi!C:C,"Keluar",Transaksi!B:B,"&gt;="&amp;A26,Transaksi!B:B,"&lt;"&amp;EDATE(A26,1))</f>
        <v/>
      </c>
      <c r="D26" s="15">
        <f>B26-C26</f>
        <v/>
      </c>
      <c r="E26" s="16">
        <f>SUM(D$9:D26)</f>
        <v/>
      </c>
    </row>
    <row r="27">
      <c r="A27" s="12">
        <f>EDATE(Tetapan!$B$22,18)</f>
        <v/>
      </c>
      <c r="B27" s="13">
        <f>SUMIFS(Transaksi!G:G,Transaksi!C:C,"Masuk",Transaksi!B:B,"&gt;="&amp;A27,Transaksi!B:B,"&lt;"&amp;EDATE(A27,1))</f>
        <v/>
      </c>
      <c r="C27" s="14">
        <f>SUMIFS(Transaksi!G:G,Transaksi!C:C,"Keluar",Transaksi!B:B,"&gt;="&amp;A27,Transaksi!B:B,"&lt;"&amp;EDATE(A27,1))</f>
        <v/>
      </c>
      <c r="D27" s="15">
        <f>B27-C27</f>
        <v/>
      </c>
      <c r="E27" s="16">
        <f>SUM(D$9:D27)</f>
        <v/>
      </c>
    </row>
    <row r="28">
      <c r="A28" s="19" t="inlineStr">
        <is>
          <t>Jumlah</t>
        </is>
      </c>
      <c r="B28" s="20">
        <f>SUM(B9:B27)</f>
        <v/>
      </c>
      <c r="C28" s="20">
        <f>SUM(C9:C27)</f>
        <v/>
      </c>
      <c r="D28" s="20">
        <f>SUM(D9:D27)</f>
        <v/>
      </c>
      <c r="E28" s="21" t="n"/>
    </row>
  </sheetData>
  <mergeCells count="10">
    <mergeCell ref="A4:B4"/>
    <mergeCell ref="G4:H4"/>
    <mergeCell ref="A2:L2"/>
    <mergeCell ref="J4:K4"/>
    <mergeCell ref="J5:K5"/>
    <mergeCell ref="A1:L1"/>
    <mergeCell ref="D5:E5"/>
    <mergeCell ref="A5:B5"/>
    <mergeCell ref="G5:H5"/>
    <mergeCell ref="D4:E4"/>
  </mergeCells>
  <conditionalFormatting sqref="D9:D27">
    <cfRule type="cellIs" priority="1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H3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9" customWidth="1" min="3" max="3"/>
    <col width="19" customWidth="1" min="4" max="4"/>
    <col width="16" customWidth="1" min="5" max="5"/>
    <col width="52" customWidth="1" min="6" max="6"/>
    <col width="14" customWidth="1" min="7" max="7"/>
    <col width="14" customWidth="1" min="8" max="8"/>
  </cols>
  <sheetData>
    <row r="1" ht="26" customHeight="1">
      <c r="A1" s="11" t="inlineStr">
        <is>
          <t>ID</t>
        </is>
      </c>
      <c r="B1" s="11" t="inlineStr">
        <is>
          <t>Tarikh</t>
        </is>
      </c>
      <c r="C1" s="11" t="inlineStr">
        <is>
          <t>Jenis</t>
        </is>
      </c>
      <c r="D1" s="11" t="inlineStr">
        <is>
          <t>Kategori</t>
        </is>
      </c>
      <c r="E1" s="11" t="inlineStr">
        <is>
          <t>Ahli / Pihak</t>
        </is>
      </c>
      <c r="F1" s="11" t="inlineStr">
        <is>
          <t>Butiran</t>
        </is>
      </c>
      <c r="G1" s="11" t="inlineStr">
        <is>
          <t>Jumlah (RM)</t>
        </is>
      </c>
      <c r="H1" s="11" t="inlineStr">
        <is>
          <t>Baki (RM)</t>
        </is>
      </c>
    </row>
    <row r="2">
      <c r="A2" s="22" t="inlineStr">
        <is>
          <t>M0001</t>
        </is>
      </c>
      <c r="B2" s="23" t="n">
        <v>45833</v>
      </c>
      <c r="C2" s="24" t="inlineStr">
        <is>
          <t>Masuk</t>
        </is>
      </c>
      <c r="D2" s="17" t="inlineStr">
        <is>
          <t>Yuran Kelab</t>
        </is>
      </c>
      <c r="E2" s="17" t="inlineStr">
        <is>
          <t>Joe</t>
        </is>
      </c>
      <c r="F2" s="17" t="inlineStr">
        <is>
          <t>Joe (6)</t>
        </is>
      </c>
      <c r="G2" s="15" t="n">
        <v>35</v>
      </c>
      <c r="H2" s="25">
        <f>IF(G2="","",SUMIF(C$2:C2,"Masuk",G$2:G2)-SUMIF(C$2:C2,"Keluar",G$2:G2))</f>
        <v/>
      </c>
    </row>
    <row r="3">
      <c r="A3" s="26" t="inlineStr">
        <is>
          <t>M0002</t>
        </is>
      </c>
      <c r="B3" s="27" t="n">
        <v>45833</v>
      </c>
      <c r="C3" s="28" t="inlineStr">
        <is>
          <t>Masuk</t>
        </is>
      </c>
      <c r="D3" s="29" t="inlineStr">
        <is>
          <t>Yuran Lawatan</t>
        </is>
      </c>
      <c r="E3" s="29" t="inlineStr">
        <is>
          <t>Joe</t>
        </is>
      </c>
      <c r="F3" s="29" t="inlineStr">
        <is>
          <t>Joe (6)</t>
        </is>
      </c>
      <c r="G3" s="30" t="n">
        <v>50</v>
      </c>
      <c r="H3" s="31">
        <f>IF(G3="","",SUMIF(C$2:C3,"Masuk",G$2:G3)-SUMIF(C$2:C3,"Keluar",G$2:G3))</f>
        <v/>
      </c>
    </row>
    <row r="4">
      <c r="A4" s="22" t="inlineStr">
        <is>
          <t>M0003</t>
        </is>
      </c>
      <c r="B4" s="23" t="n">
        <v>45833</v>
      </c>
      <c r="C4" s="24" t="inlineStr">
        <is>
          <t>Masuk</t>
        </is>
      </c>
      <c r="D4" s="17" t="inlineStr">
        <is>
          <t>Yuran Kelab</t>
        </is>
      </c>
      <c r="E4" s="17" t="inlineStr">
        <is>
          <t>Wafi</t>
        </is>
      </c>
      <c r="F4" s="17" t="inlineStr">
        <is>
          <t>Wafi (6)</t>
        </is>
      </c>
      <c r="G4" s="15" t="n">
        <v>35</v>
      </c>
      <c r="H4" s="25">
        <f>IF(G4="","",SUMIF(C$2:C4,"Masuk",G$2:G4)-SUMIF(C$2:C4,"Keluar",G$2:G4))</f>
        <v/>
      </c>
    </row>
    <row r="5">
      <c r="A5" s="26" t="inlineStr">
        <is>
          <t>M0004</t>
        </is>
      </c>
      <c r="B5" s="27" t="n">
        <v>45833</v>
      </c>
      <c r="C5" s="28" t="inlineStr">
        <is>
          <t>Masuk</t>
        </is>
      </c>
      <c r="D5" s="29" t="inlineStr">
        <is>
          <t>Yuran Lawatan</t>
        </is>
      </c>
      <c r="E5" s="29" t="inlineStr">
        <is>
          <t>Wafi</t>
        </is>
      </c>
      <c r="F5" s="29" t="inlineStr">
        <is>
          <t>Wafi (6)</t>
        </is>
      </c>
      <c r="G5" s="30" t="n">
        <v>50</v>
      </c>
      <c r="H5" s="31">
        <f>IF(G5="","",SUMIF(C$2:C5,"Masuk",G$2:G5)-SUMIF(C$2:C5,"Keluar",G$2:G5))</f>
        <v/>
      </c>
    </row>
    <row r="6">
      <c r="A6" s="22" t="inlineStr">
        <is>
          <t>M0005</t>
        </is>
      </c>
      <c r="B6" s="23" t="n">
        <v>45833</v>
      </c>
      <c r="C6" s="24" t="inlineStr">
        <is>
          <t>Masuk</t>
        </is>
      </c>
      <c r="D6" s="17" t="inlineStr">
        <is>
          <t>Yuran Kelab</t>
        </is>
      </c>
      <c r="E6" s="17" t="inlineStr">
        <is>
          <t>Boss Wan</t>
        </is>
      </c>
      <c r="F6" s="17" t="inlineStr">
        <is>
          <t>Boss (6)</t>
        </is>
      </c>
      <c r="G6" s="15" t="n">
        <v>35</v>
      </c>
      <c r="H6" s="25">
        <f>IF(G6="","",SUMIF(C$2:C6,"Masuk",G$2:G6)-SUMIF(C$2:C6,"Keluar",G$2:G6))</f>
        <v/>
      </c>
    </row>
    <row r="7">
      <c r="A7" s="26" t="inlineStr">
        <is>
          <t>M0006</t>
        </is>
      </c>
      <c r="B7" s="27" t="n">
        <v>45833</v>
      </c>
      <c r="C7" s="28" t="inlineStr">
        <is>
          <t>Masuk</t>
        </is>
      </c>
      <c r="D7" s="29" t="inlineStr">
        <is>
          <t>Yuran Lawatan</t>
        </is>
      </c>
      <c r="E7" s="29" t="inlineStr">
        <is>
          <t>Boss Wan</t>
        </is>
      </c>
      <c r="F7" s="29" t="inlineStr">
        <is>
          <t>Boss (6)</t>
        </is>
      </c>
      <c r="G7" s="30" t="n">
        <v>50</v>
      </c>
      <c r="H7" s="31">
        <f>IF(G7="","",SUMIF(C$2:C7,"Masuk",G$2:G7)-SUMIF(C$2:C7,"Keluar",G$2:G7))</f>
        <v/>
      </c>
    </row>
    <row r="8">
      <c r="A8" s="22" t="inlineStr">
        <is>
          <t>M0007</t>
        </is>
      </c>
      <c r="B8" s="23" t="n">
        <v>45833</v>
      </c>
      <c r="C8" s="24" t="inlineStr">
        <is>
          <t>Masuk</t>
        </is>
      </c>
      <c r="D8" s="17" t="inlineStr">
        <is>
          <t>Yuran Kelab</t>
        </is>
      </c>
      <c r="E8" s="17" t="inlineStr">
        <is>
          <t>Kuchai</t>
        </is>
      </c>
      <c r="F8" s="17" t="inlineStr">
        <is>
          <t>Kuchai (6)</t>
        </is>
      </c>
      <c r="G8" s="15" t="n">
        <v>35</v>
      </c>
      <c r="H8" s="25">
        <f>IF(G8="","",SUMIF(C$2:C8,"Masuk",G$2:G8)-SUMIF(C$2:C8,"Keluar",G$2:G8))</f>
        <v/>
      </c>
    </row>
    <row r="9">
      <c r="A9" s="26" t="inlineStr">
        <is>
          <t>M0008</t>
        </is>
      </c>
      <c r="B9" s="27" t="n">
        <v>45833</v>
      </c>
      <c r="C9" s="28" t="inlineStr">
        <is>
          <t>Masuk</t>
        </is>
      </c>
      <c r="D9" s="29" t="inlineStr">
        <is>
          <t>Yuran Lawatan</t>
        </is>
      </c>
      <c r="E9" s="29" t="inlineStr">
        <is>
          <t>Kuchai</t>
        </is>
      </c>
      <c r="F9" s="29" t="inlineStr">
        <is>
          <t>Kuchai (6)</t>
        </is>
      </c>
      <c r="G9" s="30" t="n">
        <v>50</v>
      </c>
      <c r="H9" s="31">
        <f>IF(G9="","",SUMIF(C$2:C9,"Masuk",G$2:G9)-SUMIF(C$2:C9,"Keluar",G$2:G9))</f>
        <v/>
      </c>
    </row>
    <row r="10">
      <c r="A10" s="22" t="inlineStr">
        <is>
          <t>M0009</t>
        </is>
      </c>
      <c r="B10" s="23" t="n">
        <v>45833</v>
      </c>
      <c r="C10" s="24" t="inlineStr">
        <is>
          <t>Masuk</t>
        </is>
      </c>
      <c r="D10" s="17" t="inlineStr">
        <is>
          <t>Yuran Kelab</t>
        </is>
      </c>
      <c r="E10" s="17" t="inlineStr">
        <is>
          <t>Chang</t>
        </is>
      </c>
      <c r="F10" s="17" t="inlineStr">
        <is>
          <t>Chang (6)</t>
        </is>
      </c>
      <c r="G10" s="15" t="n">
        <v>35</v>
      </c>
      <c r="H10" s="25">
        <f>IF(G10="","",SUMIF(C$2:C10,"Masuk",G$2:G10)-SUMIF(C$2:C10,"Keluar",G$2:G10))</f>
        <v/>
      </c>
    </row>
    <row r="11">
      <c r="A11" s="26" t="inlineStr">
        <is>
          <t>M0010</t>
        </is>
      </c>
      <c r="B11" s="27" t="n">
        <v>45833</v>
      </c>
      <c r="C11" s="28" t="inlineStr">
        <is>
          <t>Masuk</t>
        </is>
      </c>
      <c r="D11" s="29" t="inlineStr">
        <is>
          <t>Yuran Lawatan</t>
        </is>
      </c>
      <c r="E11" s="29" t="inlineStr">
        <is>
          <t>Chang</t>
        </is>
      </c>
      <c r="F11" s="29" t="inlineStr">
        <is>
          <t>Chang (6)</t>
        </is>
      </c>
      <c r="G11" s="30" t="n">
        <v>50</v>
      </c>
      <c r="H11" s="31">
        <f>IF(G11="","",SUMIF(C$2:C11,"Masuk",G$2:G11)-SUMIF(C$2:C11,"Keluar",G$2:G11))</f>
        <v/>
      </c>
    </row>
    <row r="12">
      <c r="A12" s="22" t="inlineStr">
        <is>
          <t>M0011</t>
        </is>
      </c>
      <c r="B12" s="23" t="n">
        <v>45833</v>
      </c>
      <c r="C12" s="24" t="inlineStr">
        <is>
          <t>Masuk</t>
        </is>
      </c>
      <c r="D12" s="17" t="inlineStr">
        <is>
          <t>Yuran Kelab</t>
        </is>
      </c>
      <c r="E12" s="17" t="inlineStr">
        <is>
          <t>Asnawi</t>
        </is>
      </c>
      <c r="F12" s="17" t="inlineStr">
        <is>
          <t>Asnawi (6)</t>
        </is>
      </c>
      <c r="G12" s="15" t="n">
        <v>35</v>
      </c>
      <c r="H12" s="25">
        <f>IF(G12="","",SUMIF(C$2:C12,"Masuk",G$2:G12)-SUMIF(C$2:C12,"Keluar",G$2:G12))</f>
        <v/>
      </c>
    </row>
    <row r="13">
      <c r="A13" s="26" t="inlineStr">
        <is>
          <t>M0012</t>
        </is>
      </c>
      <c r="B13" s="27" t="n">
        <v>45833</v>
      </c>
      <c r="C13" s="28" t="inlineStr">
        <is>
          <t>Masuk</t>
        </is>
      </c>
      <c r="D13" s="29" t="inlineStr">
        <is>
          <t>Yuran Lawatan</t>
        </is>
      </c>
      <c r="E13" s="29" t="inlineStr">
        <is>
          <t>Asnawi</t>
        </is>
      </c>
      <c r="F13" s="29" t="inlineStr">
        <is>
          <t>Asnawi (6)</t>
        </is>
      </c>
      <c r="G13" s="30" t="n">
        <v>50</v>
      </c>
      <c r="H13" s="31">
        <f>IF(G13="","",SUMIF(C$2:C13,"Masuk",G$2:G13)-SUMIF(C$2:C13,"Keluar",G$2:G13))</f>
        <v/>
      </c>
    </row>
    <row r="14">
      <c r="A14" s="22" t="inlineStr">
        <is>
          <t>M0013</t>
        </is>
      </c>
      <c r="B14" s="23" t="n">
        <v>45833</v>
      </c>
      <c r="C14" s="24" t="inlineStr">
        <is>
          <t>Masuk</t>
        </is>
      </c>
      <c r="D14" s="17" t="inlineStr">
        <is>
          <t>Yuran Kelab</t>
        </is>
      </c>
      <c r="E14" s="17" t="inlineStr">
        <is>
          <t>Amir</t>
        </is>
      </c>
      <c r="F14" s="17" t="inlineStr">
        <is>
          <t>Amir (6)</t>
        </is>
      </c>
      <c r="G14" s="15" t="n">
        <v>35</v>
      </c>
      <c r="H14" s="25">
        <f>IF(G14="","",SUMIF(C$2:C14,"Masuk",G$2:G14)-SUMIF(C$2:C14,"Keluar",G$2:G14))</f>
        <v/>
      </c>
    </row>
    <row r="15">
      <c r="A15" s="26" t="inlineStr">
        <is>
          <t>M0014</t>
        </is>
      </c>
      <c r="B15" s="27" t="n">
        <v>45833</v>
      </c>
      <c r="C15" s="28" t="inlineStr">
        <is>
          <t>Masuk</t>
        </is>
      </c>
      <c r="D15" s="29" t="inlineStr">
        <is>
          <t>Yuran Lawatan</t>
        </is>
      </c>
      <c r="E15" s="29" t="inlineStr">
        <is>
          <t>Amir</t>
        </is>
      </c>
      <c r="F15" s="29" t="inlineStr">
        <is>
          <t>Amir (6)</t>
        </is>
      </c>
      <c r="G15" s="30" t="n">
        <v>50</v>
      </c>
      <c r="H15" s="31">
        <f>IF(G15="","",SUMIF(C$2:C15,"Masuk",G$2:G15)-SUMIF(C$2:C15,"Keluar",G$2:G15))</f>
        <v/>
      </c>
    </row>
    <row r="16">
      <c r="A16" s="22" t="inlineStr">
        <is>
          <t>M0015</t>
        </is>
      </c>
      <c r="B16" s="23" t="n">
        <v>45833</v>
      </c>
      <c r="C16" s="24" t="inlineStr">
        <is>
          <t>Keluar</t>
        </is>
      </c>
      <c r="D16" s="17" t="inlineStr">
        <is>
          <t>Duit Pantri</t>
        </is>
      </c>
      <c r="E16" s="17" t="inlineStr">
        <is>
          <t>Asnawi</t>
        </is>
      </c>
      <c r="F16" s="17" t="inlineStr">
        <is>
          <t>Bayaran Duit Pantri - Asnawi</t>
        </is>
      </c>
      <c r="G16" s="15" t="n">
        <v>65</v>
      </c>
      <c r="H16" s="25">
        <f>IF(G16="","",SUMIF(C$2:C16,"Masuk",G$2:G16)-SUMIF(C$2:C16,"Keluar",G$2:G16))</f>
        <v/>
      </c>
    </row>
    <row r="17">
      <c r="A17" s="26" t="inlineStr">
        <is>
          <t>M0016</t>
        </is>
      </c>
      <c r="B17" s="27" t="n">
        <v>45834</v>
      </c>
      <c r="C17" s="28" t="inlineStr">
        <is>
          <t>Masuk</t>
        </is>
      </c>
      <c r="D17" s="29" t="inlineStr">
        <is>
          <t>Yuran Kelab</t>
        </is>
      </c>
      <c r="E17" s="29" t="inlineStr">
        <is>
          <t>Bang Mie</t>
        </is>
      </c>
      <c r="F17" s="29" t="inlineStr">
        <is>
          <t>Bang Mie (6)</t>
        </is>
      </c>
      <c r="G17" s="30" t="n">
        <v>35</v>
      </c>
      <c r="H17" s="31">
        <f>IF(G17="","",SUMIF(C$2:C17,"Masuk",G$2:G17)-SUMIF(C$2:C17,"Keluar",G$2:G17))</f>
        <v/>
      </c>
    </row>
    <row r="18">
      <c r="A18" s="22" t="inlineStr">
        <is>
          <t>M0017</t>
        </is>
      </c>
      <c r="B18" s="23" t="n">
        <v>45834</v>
      </c>
      <c r="C18" s="24" t="inlineStr">
        <is>
          <t>Masuk</t>
        </is>
      </c>
      <c r="D18" s="17" t="inlineStr">
        <is>
          <t>Yuran Lawatan</t>
        </is>
      </c>
      <c r="E18" s="17" t="inlineStr">
        <is>
          <t>Bang Mie</t>
        </is>
      </c>
      <c r="F18" s="17" t="inlineStr">
        <is>
          <t>Bang Mie (6)</t>
        </is>
      </c>
      <c r="G18" s="15" t="n">
        <v>50</v>
      </c>
      <c r="H18" s="25">
        <f>IF(G18="","",SUMIF(C$2:C18,"Masuk",G$2:G18)-SUMIF(C$2:C18,"Keluar",G$2:G18))</f>
        <v/>
      </c>
    </row>
    <row r="19">
      <c r="A19" s="26" t="inlineStr">
        <is>
          <t>M0018</t>
        </is>
      </c>
      <c r="B19" s="27" t="n">
        <v>45834</v>
      </c>
      <c r="C19" s="28" t="inlineStr">
        <is>
          <t>Masuk</t>
        </is>
      </c>
      <c r="D19" s="29" t="inlineStr">
        <is>
          <t>Yuran Kelab</t>
        </is>
      </c>
      <c r="E19" s="29" t="inlineStr">
        <is>
          <t>Ustaz</t>
        </is>
      </c>
      <c r="F19" s="29" t="inlineStr">
        <is>
          <t>Ustaz (6)</t>
        </is>
      </c>
      <c r="G19" s="30" t="n">
        <v>35</v>
      </c>
      <c r="H19" s="31">
        <f>IF(G19="","",SUMIF(C$2:C19,"Masuk",G$2:G19)-SUMIF(C$2:C19,"Keluar",G$2:G19))</f>
        <v/>
      </c>
    </row>
    <row r="20">
      <c r="A20" s="22" t="inlineStr">
        <is>
          <t>M0019</t>
        </is>
      </c>
      <c r="B20" s="23" t="n">
        <v>45834</v>
      </c>
      <c r="C20" s="24" t="inlineStr">
        <is>
          <t>Masuk</t>
        </is>
      </c>
      <c r="D20" s="17" t="inlineStr">
        <is>
          <t>Yuran Lawatan</t>
        </is>
      </c>
      <c r="E20" s="17" t="inlineStr">
        <is>
          <t>Ustaz</t>
        </is>
      </c>
      <c r="F20" s="17" t="inlineStr">
        <is>
          <t>Ustaz (6)</t>
        </is>
      </c>
      <c r="G20" s="15" t="n">
        <v>50</v>
      </c>
      <c r="H20" s="25">
        <f>IF(G20="","",SUMIF(C$2:C20,"Masuk",G$2:G20)-SUMIF(C$2:C20,"Keluar",G$2:G20))</f>
        <v/>
      </c>
    </row>
    <row r="21">
      <c r="A21" s="26" t="inlineStr">
        <is>
          <t>M0020</t>
        </is>
      </c>
      <c r="B21" s="27" t="n">
        <v>45834</v>
      </c>
      <c r="C21" s="28" t="inlineStr">
        <is>
          <t>Masuk</t>
        </is>
      </c>
      <c r="D21" s="29" t="inlineStr">
        <is>
          <t>Yuran Kelab</t>
        </is>
      </c>
      <c r="E21" s="29" t="inlineStr">
        <is>
          <t>Suhaimi</t>
        </is>
      </c>
      <c r="F21" s="29" t="inlineStr">
        <is>
          <t>Suhaimi (6)</t>
        </is>
      </c>
      <c r="G21" s="30" t="n">
        <v>35</v>
      </c>
      <c r="H21" s="31">
        <f>IF(G21="","",SUMIF(C$2:C21,"Masuk",G$2:G21)-SUMIF(C$2:C21,"Keluar",G$2:G21))</f>
        <v/>
      </c>
    </row>
    <row r="22">
      <c r="A22" s="22" t="inlineStr">
        <is>
          <t>M0021</t>
        </is>
      </c>
      <c r="B22" s="23" t="n">
        <v>45834</v>
      </c>
      <c r="C22" s="24" t="inlineStr">
        <is>
          <t>Masuk</t>
        </is>
      </c>
      <c r="D22" s="17" t="inlineStr">
        <is>
          <t>Yuran Lawatan</t>
        </is>
      </c>
      <c r="E22" s="17" t="inlineStr">
        <is>
          <t>Suhaimi</t>
        </is>
      </c>
      <c r="F22" s="17" t="inlineStr">
        <is>
          <t>Suhaimi (6)</t>
        </is>
      </c>
      <c r="G22" s="15" t="n">
        <v>50</v>
      </c>
      <c r="H22" s="25">
        <f>IF(G22="","",SUMIF(C$2:C22,"Masuk",G$2:G22)-SUMIF(C$2:C22,"Keluar",G$2:G22))</f>
        <v/>
      </c>
    </row>
    <row r="23">
      <c r="A23" s="26" t="inlineStr">
        <is>
          <t>M0022</t>
        </is>
      </c>
      <c r="B23" s="27" t="n">
        <v>45862</v>
      </c>
      <c r="C23" s="28" t="inlineStr">
        <is>
          <t>Masuk</t>
        </is>
      </c>
      <c r="D23" s="29" t="inlineStr">
        <is>
          <t>Yuran Kelab</t>
        </is>
      </c>
      <c r="E23" s="29" t="inlineStr">
        <is>
          <t>Suhaimi</t>
        </is>
      </c>
      <c r="F23" s="29" t="inlineStr">
        <is>
          <t>Suhaimi (7)</t>
        </is>
      </c>
      <c r="G23" s="30" t="n">
        <v>35</v>
      </c>
      <c r="H23" s="31">
        <f>IF(G23="","",SUMIF(C$2:C23,"Masuk",G$2:G23)-SUMIF(C$2:C23,"Keluar",G$2:G23))</f>
        <v/>
      </c>
    </row>
    <row r="24">
      <c r="A24" s="22" t="inlineStr">
        <is>
          <t>M0023</t>
        </is>
      </c>
      <c r="B24" s="23" t="n">
        <v>45862</v>
      </c>
      <c r="C24" s="24" t="inlineStr">
        <is>
          <t>Masuk</t>
        </is>
      </c>
      <c r="D24" s="17" t="inlineStr">
        <is>
          <t>Yuran Lawatan</t>
        </is>
      </c>
      <c r="E24" s="17" t="inlineStr">
        <is>
          <t>Suhaimi</t>
        </is>
      </c>
      <c r="F24" s="17" t="inlineStr">
        <is>
          <t>Suhaimi (7)</t>
        </is>
      </c>
      <c r="G24" s="15" t="n">
        <v>50</v>
      </c>
      <c r="H24" s="25">
        <f>IF(G24="","",SUMIF(C$2:C24,"Masuk",G$2:G24)-SUMIF(C$2:C24,"Keluar",G$2:G24))</f>
        <v/>
      </c>
    </row>
    <row r="25">
      <c r="A25" s="26" t="inlineStr">
        <is>
          <t>M0024</t>
        </is>
      </c>
      <c r="B25" s="27" t="n">
        <v>45862</v>
      </c>
      <c r="C25" s="28" t="inlineStr">
        <is>
          <t>Masuk</t>
        </is>
      </c>
      <c r="D25" s="29" t="inlineStr">
        <is>
          <t>Yuran Kelab</t>
        </is>
      </c>
      <c r="E25" s="29" t="inlineStr">
        <is>
          <t>Kuchai</t>
        </is>
      </c>
      <c r="F25" s="29" t="inlineStr">
        <is>
          <t>Kuchai (7)</t>
        </is>
      </c>
      <c r="G25" s="30" t="n">
        <v>35</v>
      </c>
      <c r="H25" s="31">
        <f>IF(G25="","",SUMIF(C$2:C25,"Masuk",G$2:G25)-SUMIF(C$2:C25,"Keluar",G$2:G25))</f>
        <v/>
      </c>
    </row>
    <row r="26">
      <c r="A26" s="22" t="inlineStr">
        <is>
          <t>M0025</t>
        </is>
      </c>
      <c r="B26" s="23" t="n">
        <v>45862</v>
      </c>
      <c r="C26" s="24" t="inlineStr">
        <is>
          <t>Masuk</t>
        </is>
      </c>
      <c r="D26" s="17" t="inlineStr">
        <is>
          <t>Yuran Lawatan</t>
        </is>
      </c>
      <c r="E26" s="17" t="inlineStr">
        <is>
          <t>Kuchai</t>
        </is>
      </c>
      <c r="F26" s="17" t="inlineStr">
        <is>
          <t>Kuchai (7)</t>
        </is>
      </c>
      <c r="G26" s="15" t="n">
        <v>50</v>
      </c>
      <c r="H26" s="25">
        <f>IF(G26="","",SUMIF(C$2:C26,"Masuk",G$2:G26)-SUMIF(C$2:C26,"Keluar",G$2:G26))</f>
        <v/>
      </c>
    </row>
    <row r="27">
      <c r="A27" s="26" t="inlineStr">
        <is>
          <t>M0026</t>
        </is>
      </c>
      <c r="B27" s="27" t="n">
        <v>45862</v>
      </c>
      <c r="C27" s="28" t="inlineStr">
        <is>
          <t>Masuk</t>
        </is>
      </c>
      <c r="D27" s="29" t="inlineStr">
        <is>
          <t>Yuran Kelab</t>
        </is>
      </c>
      <c r="E27" s="29" t="inlineStr">
        <is>
          <t>Bang Mie</t>
        </is>
      </c>
      <c r="F27" s="29" t="inlineStr">
        <is>
          <t>Bang Mie (7)</t>
        </is>
      </c>
      <c r="G27" s="30" t="n">
        <v>35</v>
      </c>
      <c r="H27" s="31">
        <f>IF(G27="","",SUMIF(C$2:C27,"Masuk",G$2:G27)-SUMIF(C$2:C27,"Keluar",G$2:G27))</f>
        <v/>
      </c>
    </row>
    <row r="28">
      <c r="A28" s="22" t="inlineStr">
        <is>
          <t>M0027</t>
        </is>
      </c>
      <c r="B28" s="23" t="n">
        <v>45862</v>
      </c>
      <c r="C28" s="24" t="inlineStr">
        <is>
          <t>Masuk</t>
        </is>
      </c>
      <c r="D28" s="17" t="inlineStr">
        <is>
          <t>Yuran Lawatan</t>
        </is>
      </c>
      <c r="E28" s="17" t="inlineStr">
        <is>
          <t>Bang Mie</t>
        </is>
      </c>
      <c r="F28" s="17" t="inlineStr">
        <is>
          <t>Bang Mie (7)</t>
        </is>
      </c>
      <c r="G28" s="15" t="n">
        <v>50</v>
      </c>
      <c r="H28" s="25">
        <f>IF(G28="","",SUMIF(C$2:C28,"Masuk",G$2:G28)-SUMIF(C$2:C28,"Keluar",G$2:G28))</f>
        <v/>
      </c>
    </row>
    <row r="29">
      <c r="A29" s="26" t="inlineStr">
        <is>
          <t>M0028</t>
        </is>
      </c>
      <c r="B29" s="27" t="n">
        <v>45862</v>
      </c>
      <c r="C29" s="28" t="inlineStr">
        <is>
          <t>Masuk</t>
        </is>
      </c>
      <c r="D29" s="29" t="inlineStr">
        <is>
          <t>Yuran Kelab</t>
        </is>
      </c>
      <c r="E29" s="29" t="inlineStr">
        <is>
          <t>Khairiri</t>
        </is>
      </c>
      <c r="F29" s="29" t="inlineStr">
        <is>
          <t>Khairiri (Kelab 6 &amp; 7)</t>
        </is>
      </c>
      <c r="G29" s="30" t="n">
        <v>70</v>
      </c>
      <c r="H29" s="31">
        <f>IF(G29="","",SUMIF(C$2:C29,"Masuk",G$2:G29)-SUMIF(C$2:C29,"Keluar",G$2:G29))</f>
        <v/>
      </c>
    </row>
    <row r="30">
      <c r="A30" s="22" t="inlineStr">
        <is>
          <t>M0029</t>
        </is>
      </c>
      <c r="B30" s="23" t="n">
        <v>45862</v>
      </c>
      <c r="C30" s="24" t="inlineStr">
        <is>
          <t>Masuk</t>
        </is>
      </c>
      <c r="D30" s="17" t="inlineStr">
        <is>
          <t>Yuran Kelab</t>
        </is>
      </c>
      <c r="E30" s="17" t="inlineStr">
        <is>
          <t>Hadi</t>
        </is>
      </c>
      <c r="F30" s="17" t="inlineStr">
        <is>
          <t>Hadi (Yuran 6 &amp; 7)</t>
        </is>
      </c>
      <c r="G30" s="15" t="n">
        <v>70</v>
      </c>
      <c r="H30" s="25">
        <f>IF(G30="","",SUMIF(C$2:C30,"Masuk",G$2:G30)-SUMIF(C$2:C30,"Keluar",G$2:G30))</f>
        <v/>
      </c>
    </row>
    <row r="31">
      <c r="A31" s="26" t="inlineStr">
        <is>
          <t>M0030</t>
        </is>
      </c>
      <c r="B31" s="27" t="n">
        <v>45862</v>
      </c>
      <c r="C31" s="28" t="inlineStr">
        <is>
          <t>Masuk</t>
        </is>
      </c>
      <c r="D31" s="29" t="inlineStr">
        <is>
          <t>Yuran Lawatan</t>
        </is>
      </c>
      <c r="E31" s="29" t="inlineStr">
        <is>
          <t>Hadi</t>
        </is>
      </c>
      <c r="F31" s="29" t="inlineStr">
        <is>
          <t>Hadi (Yuran 6 &amp; 7)</t>
        </is>
      </c>
      <c r="G31" s="30" t="n">
        <v>100</v>
      </c>
      <c r="H31" s="31">
        <f>IF(G31="","",SUMIF(C$2:C31,"Masuk",G$2:G31)-SUMIF(C$2:C31,"Keluar",G$2:G31))</f>
        <v/>
      </c>
    </row>
    <row r="32">
      <c r="A32" s="22" t="inlineStr">
        <is>
          <t>M0031</t>
        </is>
      </c>
      <c r="B32" s="23" t="n">
        <v>45862</v>
      </c>
      <c r="C32" s="24" t="inlineStr">
        <is>
          <t>Masuk</t>
        </is>
      </c>
      <c r="D32" s="17" t="inlineStr">
        <is>
          <t>Yuran Kelab</t>
        </is>
      </c>
      <c r="E32" s="17" t="inlineStr">
        <is>
          <t>Asnawi</t>
        </is>
      </c>
      <c r="F32" s="17" t="inlineStr">
        <is>
          <t>Asnawi (7)</t>
        </is>
      </c>
      <c r="G32" s="15" t="n">
        <v>35</v>
      </c>
      <c r="H32" s="25">
        <f>IF(G32="","",SUMIF(C$2:C32,"Masuk",G$2:G32)-SUMIF(C$2:C32,"Keluar",G$2:G32))</f>
        <v/>
      </c>
    </row>
    <row r="33">
      <c r="A33" s="26" t="inlineStr">
        <is>
          <t>M0032</t>
        </is>
      </c>
      <c r="B33" s="27" t="n">
        <v>45862</v>
      </c>
      <c r="C33" s="28" t="inlineStr">
        <is>
          <t>Masuk</t>
        </is>
      </c>
      <c r="D33" s="29" t="inlineStr">
        <is>
          <t>Yuran Lawatan</t>
        </is>
      </c>
      <c r="E33" s="29" t="inlineStr">
        <is>
          <t>Asnawi</t>
        </is>
      </c>
      <c r="F33" s="29" t="inlineStr">
        <is>
          <t>Asnawi (7)</t>
        </is>
      </c>
      <c r="G33" s="30" t="n">
        <v>50</v>
      </c>
      <c r="H33" s="31">
        <f>IF(G33="","",SUMIF(C$2:C33,"Masuk",G$2:G33)-SUMIF(C$2:C33,"Keluar",G$2:G33))</f>
        <v/>
      </c>
    </row>
    <row r="34">
      <c r="A34" s="22" t="inlineStr">
        <is>
          <t>M0033</t>
        </is>
      </c>
      <c r="B34" s="23" t="n">
        <v>45862</v>
      </c>
      <c r="C34" s="24" t="inlineStr">
        <is>
          <t>Masuk</t>
        </is>
      </c>
      <c r="D34" s="17" t="inlineStr">
        <is>
          <t>Yuran Kelab</t>
        </is>
      </c>
      <c r="E34" s="17" t="inlineStr">
        <is>
          <t>Chang</t>
        </is>
      </c>
      <c r="F34" s="17" t="inlineStr">
        <is>
          <t>Chang (7)</t>
        </is>
      </c>
      <c r="G34" s="15" t="n">
        <v>35</v>
      </c>
      <c r="H34" s="25">
        <f>IF(G34="","",SUMIF(C$2:C34,"Masuk",G$2:G34)-SUMIF(C$2:C34,"Keluar",G$2:G34))</f>
        <v/>
      </c>
    </row>
    <row r="35">
      <c r="A35" s="26" t="inlineStr">
        <is>
          <t>M0034</t>
        </is>
      </c>
      <c r="B35" s="27" t="n">
        <v>45862</v>
      </c>
      <c r="C35" s="28" t="inlineStr">
        <is>
          <t>Masuk</t>
        </is>
      </c>
      <c r="D35" s="29" t="inlineStr">
        <is>
          <t>Yuran Lawatan</t>
        </is>
      </c>
      <c r="E35" s="29" t="inlineStr">
        <is>
          <t>Chang</t>
        </is>
      </c>
      <c r="F35" s="29" t="inlineStr">
        <is>
          <t>Chang (7)</t>
        </is>
      </c>
      <c r="G35" s="30" t="n">
        <v>50</v>
      </c>
      <c r="H35" s="31">
        <f>IF(G35="","",SUMIF(C$2:C35,"Masuk",G$2:G35)-SUMIF(C$2:C35,"Keluar",G$2:G35))</f>
        <v/>
      </c>
    </row>
    <row r="36">
      <c r="A36" s="22" t="inlineStr">
        <is>
          <t>M0035</t>
        </is>
      </c>
      <c r="B36" s="23" t="n">
        <v>45862</v>
      </c>
      <c r="C36" s="24" t="inlineStr">
        <is>
          <t>Keluar</t>
        </is>
      </c>
      <c r="D36" s="17" t="inlineStr">
        <is>
          <t>Langganan / Bahan</t>
        </is>
      </c>
      <c r="E36" s="17" t="inlineStr">
        <is>
          <t>Wafi</t>
        </is>
      </c>
      <c r="F36" s="17" t="inlineStr">
        <is>
          <t>Bayaran PSKPP - Wafi</t>
        </is>
      </c>
      <c r="G36" s="15" t="n">
        <v>130</v>
      </c>
      <c r="H36" s="25">
        <f>IF(G36="","",SUMIF(C$2:C36,"Masuk",G$2:G36)-SUMIF(C$2:C36,"Keluar",G$2:G36))</f>
        <v/>
      </c>
    </row>
    <row r="37">
      <c r="A37" s="26" t="inlineStr">
        <is>
          <t>M0036</t>
        </is>
      </c>
      <c r="B37" s="27" t="n">
        <v>45870</v>
      </c>
      <c r="C37" s="28" t="inlineStr">
        <is>
          <t>Masuk</t>
        </is>
      </c>
      <c r="D37" s="29" t="inlineStr">
        <is>
          <t>Yuran Kelab</t>
        </is>
      </c>
      <c r="E37" s="29" t="inlineStr">
        <is>
          <t>Joe</t>
        </is>
      </c>
      <c r="F37" s="29" t="inlineStr">
        <is>
          <t>Joe (7)</t>
        </is>
      </c>
      <c r="G37" s="30" t="n">
        <v>35</v>
      </c>
      <c r="H37" s="31">
        <f>IF(G37="","",SUMIF(C$2:C37,"Masuk",G$2:G37)-SUMIF(C$2:C37,"Keluar",G$2:G37))</f>
        <v/>
      </c>
    </row>
    <row r="38">
      <c r="A38" s="22" t="inlineStr">
        <is>
          <t>M0037</t>
        </is>
      </c>
      <c r="B38" s="23" t="n">
        <v>45870</v>
      </c>
      <c r="C38" s="24" t="inlineStr">
        <is>
          <t>Masuk</t>
        </is>
      </c>
      <c r="D38" s="17" t="inlineStr">
        <is>
          <t>Yuran Lawatan</t>
        </is>
      </c>
      <c r="E38" s="17" t="inlineStr">
        <is>
          <t>Joe</t>
        </is>
      </c>
      <c r="F38" s="17" t="inlineStr">
        <is>
          <t>Joe (7)</t>
        </is>
      </c>
      <c r="G38" s="15" t="n">
        <v>50</v>
      </c>
      <c r="H38" s="25">
        <f>IF(G38="","",SUMIF(C$2:C38,"Masuk",G$2:G38)-SUMIF(C$2:C38,"Keluar",G$2:G38))</f>
        <v/>
      </c>
    </row>
    <row r="39">
      <c r="A39" s="26" t="inlineStr">
        <is>
          <t>M0038</t>
        </is>
      </c>
      <c r="B39" s="27" t="n">
        <v>45870</v>
      </c>
      <c r="C39" s="28" t="inlineStr">
        <is>
          <t>Keluar</t>
        </is>
      </c>
      <c r="D39" s="29" t="inlineStr">
        <is>
          <t>Duit Pantri</t>
        </is>
      </c>
      <c r="E39" s="29" t="inlineStr">
        <is>
          <t>Asnawi</t>
        </is>
      </c>
      <c r="F39" s="29" t="inlineStr">
        <is>
          <t>Bayaran Duit Pantri - Asnawi</t>
        </is>
      </c>
      <c r="G39" s="30" t="n">
        <v>65</v>
      </c>
      <c r="H39" s="31">
        <f>IF(G39="","",SUMIF(C$2:C39,"Masuk",G$2:G39)-SUMIF(C$2:C39,"Keluar",G$2:G39))</f>
        <v/>
      </c>
    </row>
    <row r="40">
      <c r="A40" s="22" t="inlineStr">
        <is>
          <t>M0039</t>
        </is>
      </c>
      <c r="B40" s="23" t="n">
        <v>45873</v>
      </c>
      <c r="C40" s="24" t="inlineStr">
        <is>
          <t>Masuk</t>
        </is>
      </c>
      <c r="D40" s="17" t="inlineStr">
        <is>
          <t>Yuran Kelab</t>
        </is>
      </c>
      <c r="E40" s="17" t="inlineStr">
        <is>
          <t>Ustaz</t>
        </is>
      </c>
      <c r="F40" s="17" t="inlineStr">
        <is>
          <t>Ustaz (Kelab 7)</t>
        </is>
      </c>
      <c r="G40" s="15" t="n">
        <v>35</v>
      </c>
      <c r="H40" s="25">
        <f>IF(G40="","",SUMIF(C$2:C40,"Masuk",G$2:G40)-SUMIF(C$2:C40,"Keluar",G$2:G40))</f>
        <v/>
      </c>
    </row>
    <row r="41">
      <c r="A41" s="26" t="inlineStr">
        <is>
          <t>M0040</t>
        </is>
      </c>
      <c r="B41" s="27" t="n">
        <v>45873</v>
      </c>
      <c r="C41" s="28" t="inlineStr">
        <is>
          <t>Masuk</t>
        </is>
      </c>
      <c r="D41" s="29" t="inlineStr">
        <is>
          <t>Yuran Kelab</t>
        </is>
      </c>
      <c r="E41" s="29" t="inlineStr">
        <is>
          <t>Amir</t>
        </is>
      </c>
      <c r="F41" s="29" t="inlineStr">
        <is>
          <t>Amir (7)</t>
        </is>
      </c>
      <c r="G41" s="30" t="n">
        <v>35</v>
      </c>
      <c r="H41" s="31">
        <f>IF(G41="","",SUMIF(C$2:C41,"Masuk",G$2:G41)-SUMIF(C$2:C41,"Keluar",G$2:G41))</f>
        <v/>
      </c>
    </row>
    <row r="42">
      <c r="A42" s="22" t="inlineStr">
        <is>
          <t>M0041</t>
        </is>
      </c>
      <c r="B42" s="23" t="n">
        <v>45873</v>
      </c>
      <c r="C42" s="24" t="inlineStr">
        <is>
          <t>Masuk</t>
        </is>
      </c>
      <c r="D42" s="17" t="inlineStr">
        <is>
          <t>Yuran Lawatan</t>
        </is>
      </c>
      <c r="E42" s="17" t="inlineStr">
        <is>
          <t>Amir</t>
        </is>
      </c>
      <c r="F42" s="17" t="inlineStr">
        <is>
          <t>Amir (7)</t>
        </is>
      </c>
      <c r="G42" s="15" t="n">
        <v>50</v>
      </c>
      <c r="H42" s="25">
        <f>IF(G42="","",SUMIF(C$2:C42,"Masuk",G$2:G42)-SUMIF(C$2:C42,"Keluar",G$2:G42))</f>
        <v/>
      </c>
    </row>
    <row r="43">
      <c r="A43" s="26" t="inlineStr">
        <is>
          <t>M0042</t>
        </is>
      </c>
      <c r="B43" s="27" t="n">
        <v>45877</v>
      </c>
      <c r="C43" s="28" t="inlineStr">
        <is>
          <t>Masuk</t>
        </is>
      </c>
      <c r="D43" s="29" t="inlineStr">
        <is>
          <t>Yuran Kelab</t>
        </is>
      </c>
      <c r="E43" s="29" t="inlineStr">
        <is>
          <t>Boss Wan</t>
        </is>
      </c>
      <c r="F43" s="29" t="inlineStr">
        <is>
          <t>Boss (7)</t>
        </is>
      </c>
      <c r="G43" s="30" t="n">
        <v>35</v>
      </c>
      <c r="H43" s="31">
        <f>IF(G43="","",SUMIF(C$2:C43,"Masuk",G$2:G43)-SUMIF(C$2:C43,"Keluar",G$2:G43))</f>
        <v/>
      </c>
    </row>
    <row r="44">
      <c r="A44" s="22" t="inlineStr">
        <is>
          <t>M0043</t>
        </is>
      </c>
      <c r="B44" s="23" t="n">
        <v>45877</v>
      </c>
      <c r="C44" s="24" t="inlineStr">
        <is>
          <t>Masuk</t>
        </is>
      </c>
      <c r="D44" s="17" t="inlineStr">
        <is>
          <t>Yuran Lawatan</t>
        </is>
      </c>
      <c r="E44" s="17" t="inlineStr">
        <is>
          <t>Boss Wan</t>
        </is>
      </c>
      <c r="F44" s="17" t="inlineStr">
        <is>
          <t>Boss (7)</t>
        </is>
      </c>
      <c r="G44" s="15" t="n">
        <v>50</v>
      </c>
      <c r="H44" s="25">
        <f>IF(G44="","",SUMIF(C$2:C44,"Masuk",G$2:G44)-SUMIF(C$2:C44,"Keluar",G$2:G44))</f>
        <v/>
      </c>
    </row>
    <row r="45">
      <c r="A45" s="26" t="inlineStr">
        <is>
          <t>M0044</t>
        </is>
      </c>
      <c r="B45" s="27" t="n">
        <v>45894</v>
      </c>
      <c r="C45" s="28" t="inlineStr">
        <is>
          <t>Masuk</t>
        </is>
      </c>
      <c r="D45" s="29" t="inlineStr">
        <is>
          <t>Yuran Lawatan</t>
        </is>
      </c>
      <c r="E45" s="29" t="inlineStr">
        <is>
          <t>Ustaz</t>
        </is>
      </c>
      <c r="F45" s="29" t="inlineStr">
        <is>
          <t>Ustaz (Lawatan 7)</t>
        </is>
      </c>
      <c r="G45" s="30" t="n">
        <v>50</v>
      </c>
      <c r="H45" s="31">
        <f>IF(G45="","",SUMIF(C$2:C45,"Masuk",G$2:G45)-SUMIF(C$2:C45,"Keluar",G$2:G45))</f>
        <v/>
      </c>
    </row>
    <row r="46">
      <c r="A46" s="22" t="inlineStr">
        <is>
          <t>M0045</t>
        </is>
      </c>
      <c r="B46" s="23" t="n">
        <v>45894</v>
      </c>
      <c r="C46" s="24" t="inlineStr">
        <is>
          <t>Masuk</t>
        </is>
      </c>
      <c r="D46" s="17" t="inlineStr">
        <is>
          <t>Yuran Lawatan</t>
        </is>
      </c>
      <c r="E46" s="17" t="inlineStr">
        <is>
          <t>Boss Wan</t>
        </is>
      </c>
      <c r="F46" s="17" t="inlineStr">
        <is>
          <t>Boss (Lawatan 8)</t>
        </is>
      </c>
      <c r="G46" s="15" t="n">
        <v>50</v>
      </c>
      <c r="H46" s="25">
        <f>IF(G46="","",SUMIF(C$2:C46,"Masuk",G$2:G46)-SUMIF(C$2:C46,"Keluar",G$2:G46))</f>
        <v/>
      </c>
    </row>
    <row r="47">
      <c r="A47" s="26" t="inlineStr">
        <is>
          <t>M0046</t>
        </is>
      </c>
      <c r="B47" s="27" t="n">
        <v>45894</v>
      </c>
      <c r="C47" s="28" t="inlineStr">
        <is>
          <t>Masuk</t>
        </is>
      </c>
      <c r="D47" s="29" t="inlineStr">
        <is>
          <t>Yuran Kelab</t>
        </is>
      </c>
      <c r="E47" s="29" t="inlineStr">
        <is>
          <t>Suhaimi</t>
        </is>
      </c>
      <c r="F47" s="29" t="inlineStr">
        <is>
          <t>Suhaimi (8)</t>
        </is>
      </c>
      <c r="G47" s="30" t="n">
        <v>35</v>
      </c>
      <c r="H47" s="31">
        <f>IF(G47="","",SUMIF(C$2:C47,"Masuk",G$2:G47)-SUMIF(C$2:C47,"Keluar",G$2:G47))</f>
        <v/>
      </c>
    </row>
    <row r="48">
      <c r="A48" s="22" t="inlineStr">
        <is>
          <t>M0047</t>
        </is>
      </c>
      <c r="B48" s="23" t="n">
        <v>45894</v>
      </c>
      <c r="C48" s="24" t="inlineStr">
        <is>
          <t>Masuk</t>
        </is>
      </c>
      <c r="D48" s="17" t="inlineStr">
        <is>
          <t>Yuran Lawatan</t>
        </is>
      </c>
      <c r="E48" s="17" t="inlineStr">
        <is>
          <t>Suhaimi</t>
        </is>
      </c>
      <c r="F48" s="17" t="inlineStr">
        <is>
          <t>Suhaimi (8)</t>
        </is>
      </c>
      <c r="G48" s="15" t="n">
        <v>50</v>
      </c>
      <c r="H48" s="25">
        <f>IF(G48="","",SUMIF(C$2:C48,"Masuk",G$2:G48)-SUMIF(C$2:C48,"Keluar",G$2:G48))</f>
        <v/>
      </c>
    </row>
    <row r="49">
      <c r="A49" s="26" t="inlineStr">
        <is>
          <t>M0048</t>
        </is>
      </c>
      <c r="B49" s="27" t="n">
        <v>45894</v>
      </c>
      <c r="C49" s="28" t="inlineStr">
        <is>
          <t>Masuk</t>
        </is>
      </c>
      <c r="D49" s="29" t="inlineStr">
        <is>
          <t>Yuran Kelab</t>
        </is>
      </c>
      <c r="E49" s="29" t="inlineStr">
        <is>
          <t>Bang Mie</t>
        </is>
      </c>
      <c r="F49" s="29" t="inlineStr">
        <is>
          <t>Bang Mie (8)</t>
        </is>
      </c>
      <c r="G49" s="30" t="n">
        <v>35</v>
      </c>
      <c r="H49" s="31">
        <f>IF(G49="","",SUMIF(C$2:C49,"Masuk",G$2:G49)-SUMIF(C$2:C49,"Keluar",G$2:G49))</f>
        <v/>
      </c>
    </row>
    <row r="50">
      <c r="A50" s="22" t="inlineStr">
        <is>
          <t>M0049</t>
        </is>
      </c>
      <c r="B50" s="23" t="n">
        <v>45894</v>
      </c>
      <c r="C50" s="24" t="inlineStr">
        <is>
          <t>Masuk</t>
        </is>
      </c>
      <c r="D50" s="17" t="inlineStr">
        <is>
          <t>Yuran Lawatan</t>
        </is>
      </c>
      <c r="E50" s="17" t="inlineStr">
        <is>
          <t>Bang Mie</t>
        </is>
      </c>
      <c r="F50" s="17" t="inlineStr">
        <is>
          <t>Bang Mie (8)</t>
        </is>
      </c>
      <c r="G50" s="15" t="n">
        <v>50</v>
      </c>
      <c r="H50" s="25">
        <f>IF(G50="","",SUMIF(C$2:C50,"Masuk",G$2:G50)-SUMIF(C$2:C50,"Keluar",G$2:G50))</f>
        <v/>
      </c>
    </row>
    <row r="51">
      <c r="A51" s="26" t="inlineStr">
        <is>
          <t>M0050</t>
        </is>
      </c>
      <c r="B51" s="27" t="n">
        <v>45896</v>
      </c>
      <c r="C51" s="28" t="inlineStr">
        <is>
          <t>Masuk</t>
        </is>
      </c>
      <c r="D51" s="29" t="inlineStr">
        <is>
          <t>Yuran Kelab</t>
        </is>
      </c>
      <c r="E51" s="29" t="inlineStr">
        <is>
          <t>Asnawi</t>
        </is>
      </c>
      <c r="F51" s="29" t="inlineStr">
        <is>
          <t>Asnawi (8)</t>
        </is>
      </c>
      <c r="G51" s="30" t="n">
        <v>35</v>
      </c>
      <c r="H51" s="31">
        <f>IF(G51="","",SUMIF(C$2:C51,"Masuk",G$2:G51)-SUMIF(C$2:C51,"Keluar",G$2:G51))</f>
        <v/>
      </c>
    </row>
    <row r="52">
      <c r="A52" s="22" t="inlineStr">
        <is>
          <t>M0051</t>
        </is>
      </c>
      <c r="B52" s="23" t="n">
        <v>45896</v>
      </c>
      <c r="C52" s="24" t="inlineStr">
        <is>
          <t>Masuk</t>
        </is>
      </c>
      <c r="D52" s="17" t="inlineStr">
        <is>
          <t>Yuran Lawatan</t>
        </is>
      </c>
      <c r="E52" s="17" t="inlineStr">
        <is>
          <t>Asnawi</t>
        </is>
      </c>
      <c r="F52" s="17" t="inlineStr">
        <is>
          <t>Asnawi (8)</t>
        </is>
      </c>
      <c r="G52" s="15" t="n">
        <v>50</v>
      </c>
      <c r="H52" s="25">
        <f>IF(G52="","",SUMIF(C$2:C52,"Masuk",G$2:G52)-SUMIF(C$2:C52,"Keluar",G$2:G52))</f>
        <v/>
      </c>
    </row>
    <row r="53">
      <c r="A53" s="26" t="inlineStr">
        <is>
          <t>M0052</t>
        </is>
      </c>
      <c r="B53" s="27" t="n">
        <v>45899</v>
      </c>
      <c r="C53" s="28" t="inlineStr">
        <is>
          <t>Masuk</t>
        </is>
      </c>
      <c r="D53" s="29" t="inlineStr">
        <is>
          <t>Yuran Kelab</t>
        </is>
      </c>
      <c r="E53" s="29" t="inlineStr">
        <is>
          <t>Chang</t>
        </is>
      </c>
      <c r="F53" s="29" t="inlineStr">
        <is>
          <t>Chang (8)</t>
        </is>
      </c>
      <c r="G53" s="30" t="n">
        <v>35</v>
      </c>
      <c r="H53" s="31">
        <f>IF(G53="","",SUMIF(C$2:C53,"Masuk",G$2:G53)-SUMIF(C$2:C53,"Keluar",G$2:G53))</f>
        <v/>
      </c>
    </row>
    <row r="54">
      <c r="A54" s="22" t="inlineStr">
        <is>
          <t>M0053</t>
        </is>
      </c>
      <c r="B54" s="23" t="n">
        <v>45899</v>
      </c>
      <c r="C54" s="24" t="inlineStr">
        <is>
          <t>Masuk</t>
        </is>
      </c>
      <c r="D54" s="17" t="inlineStr">
        <is>
          <t>Yuran Lawatan</t>
        </is>
      </c>
      <c r="E54" s="17" t="inlineStr">
        <is>
          <t>Chang</t>
        </is>
      </c>
      <c r="F54" s="17" t="inlineStr">
        <is>
          <t>Chang (8)</t>
        </is>
      </c>
      <c r="G54" s="15" t="n">
        <v>50</v>
      </c>
      <c r="H54" s="25">
        <f>IF(G54="","",SUMIF(C$2:C54,"Masuk",G$2:G54)-SUMIF(C$2:C54,"Keluar",G$2:G54))</f>
        <v/>
      </c>
    </row>
    <row r="55">
      <c r="A55" s="26" t="inlineStr">
        <is>
          <t>M0054</t>
        </is>
      </c>
      <c r="B55" s="27" t="n">
        <v>45908</v>
      </c>
      <c r="C55" s="28" t="inlineStr">
        <is>
          <t>Masuk</t>
        </is>
      </c>
      <c r="D55" s="29" t="inlineStr">
        <is>
          <t>Yuran Kelab</t>
        </is>
      </c>
      <c r="E55" s="29" t="inlineStr">
        <is>
          <t>Amir</t>
        </is>
      </c>
      <c r="F55" s="29" t="inlineStr">
        <is>
          <t>Amir (8)</t>
        </is>
      </c>
      <c r="G55" s="30" t="n">
        <v>35</v>
      </c>
      <c r="H55" s="31">
        <f>IF(G55="","",SUMIF(C$2:C55,"Masuk",G$2:G55)-SUMIF(C$2:C55,"Keluar",G$2:G55))</f>
        <v/>
      </c>
    </row>
    <row r="56">
      <c r="A56" s="22" t="inlineStr">
        <is>
          <t>M0055</t>
        </is>
      </c>
      <c r="B56" s="23" t="n">
        <v>45908</v>
      </c>
      <c r="C56" s="24" t="inlineStr">
        <is>
          <t>Masuk</t>
        </is>
      </c>
      <c r="D56" s="17" t="inlineStr">
        <is>
          <t>Yuran Lawatan</t>
        </is>
      </c>
      <c r="E56" s="17" t="inlineStr">
        <is>
          <t>Amir</t>
        </is>
      </c>
      <c r="F56" s="17" t="inlineStr">
        <is>
          <t>Amir (8)</t>
        </is>
      </c>
      <c r="G56" s="15" t="n">
        <v>50</v>
      </c>
      <c r="H56" s="25">
        <f>IF(G56="","",SUMIF(C$2:C56,"Masuk",G$2:G56)-SUMIF(C$2:C56,"Keluar",G$2:G56))</f>
        <v/>
      </c>
    </row>
    <row r="57">
      <c r="A57" s="26" t="inlineStr">
        <is>
          <t>M0056</t>
        </is>
      </c>
      <c r="B57" s="27" t="n">
        <v>45908</v>
      </c>
      <c r="C57" s="28" t="inlineStr">
        <is>
          <t>Masuk</t>
        </is>
      </c>
      <c r="D57" s="29" t="inlineStr">
        <is>
          <t>Yuran Kelab</t>
        </is>
      </c>
      <c r="E57" s="29" t="inlineStr">
        <is>
          <t>Khairiri</t>
        </is>
      </c>
      <c r="F57" s="29" t="inlineStr">
        <is>
          <t>Khairiri (8)</t>
        </is>
      </c>
      <c r="G57" s="30" t="n">
        <v>35</v>
      </c>
      <c r="H57" s="31">
        <f>IF(G57="","",SUMIF(C$2:C57,"Masuk",G$2:G57)-SUMIF(C$2:C57,"Keluar",G$2:G57))</f>
        <v/>
      </c>
    </row>
    <row r="58">
      <c r="A58" s="22" t="inlineStr">
        <is>
          <t>M0057</t>
        </is>
      </c>
      <c r="B58" s="23" t="n">
        <v>45908</v>
      </c>
      <c r="C58" s="24" t="inlineStr">
        <is>
          <t>Masuk</t>
        </is>
      </c>
      <c r="D58" s="17" t="inlineStr">
        <is>
          <t>Yuran Lawatan</t>
        </is>
      </c>
      <c r="E58" s="17" t="inlineStr">
        <is>
          <t>Khairiri</t>
        </is>
      </c>
      <c r="F58" s="17" t="inlineStr">
        <is>
          <t>Khairiri (8)</t>
        </is>
      </c>
      <c r="G58" s="15" t="n">
        <v>50</v>
      </c>
      <c r="H58" s="25">
        <f>IF(G58="","",SUMIF(C$2:C58,"Masuk",G$2:G58)-SUMIF(C$2:C58,"Keluar",G$2:G58))</f>
        <v/>
      </c>
    </row>
    <row r="59">
      <c r="A59" s="26" t="inlineStr">
        <is>
          <t>M0058</t>
        </is>
      </c>
      <c r="B59" s="27" t="n">
        <v>45908</v>
      </c>
      <c r="C59" s="28" t="inlineStr">
        <is>
          <t>Masuk</t>
        </is>
      </c>
      <c r="D59" s="29" t="inlineStr">
        <is>
          <t>Yuran Kelab</t>
        </is>
      </c>
      <c r="E59" s="29" t="inlineStr">
        <is>
          <t>Hadi</t>
        </is>
      </c>
      <c r="F59" s="29" t="inlineStr">
        <is>
          <t>Hadi (8)</t>
        </is>
      </c>
      <c r="G59" s="30" t="n">
        <v>35</v>
      </c>
      <c r="H59" s="31">
        <f>IF(G59="","",SUMIF(C$2:C59,"Masuk",G$2:G59)-SUMIF(C$2:C59,"Keluar",G$2:G59))</f>
        <v/>
      </c>
    </row>
    <row r="60">
      <c r="A60" s="22" t="inlineStr">
        <is>
          <t>M0059</t>
        </is>
      </c>
      <c r="B60" s="23" t="n">
        <v>45908</v>
      </c>
      <c r="C60" s="24" t="inlineStr">
        <is>
          <t>Masuk</t>
        </is>
      </c>
      <c r="D60" s="17" t="inlineStr">
        <is>
          <t>Yuran Lawatan</t>
        </is>
      </c>
      <c r="E60" s="17" t="inlineStr">
        <is>
          <t>Hadi</t>
        </is>
      </c>
      <c r="F60" s="17" t="inlineStr">
        <is>
          <t>Hadi (8)</t>
        </is>
      </c>
      <c r="G60" s="15" t="n">
        <v>50</v>
      </c>
      <c r="H60" s="25">
        <f>IF(G60="","",SUMIF(C$2:C60,"Masuk",G$2:G60)-SUMIF(C$2:C60,"Keluar",G$2:G60))</f>
        <v/>
      </c>
    </row>
    <row r="61">
      <c r="A61" s="26" t="inlineStr">
        <is>
          <t>M0060</t>
        </is>
      </c>
      <c r="B61" s="27" t="n">
        <v>45908</v>
      </c>
      <c r="C61" s="28" t="inlineStr">
        <is>
          <t>Masuk</t>
        </is>
      </c>
      <c r="D61" s="29" t="inlineStr">
        <is>
          <t>Yuran Kelab</t>
        </is>
      </c>
      <c r="E61" s="29" t="inlineStr">
        <is>
          <t>Kuchai</t>
        </is>
      </c>
      <c r="F61" s="29" t="inlineStr">
        <is>
          <t>Kuchai (8)</t>
        </is>
      </c>
      <c r="G61" s="30" t="n">
        <v>35</v>
      </c>
      <c r="H61" s="31">
        <f>IF(G61="","",SUMIF(C$2:C61,"Masuk",G$2:G61)-SUMIF(C$2:C61,"Keluar",G$2:G61))</f>
        <v/>
      </c>
    </row>
    <row r="62">
      <c r="A62" s="22" t="inlineStr">
        <is>
          <t>M0061</t>
        </is>
      </c>
      <c r="B62" s="23" t="n">
        <v>45908</v>
      </c>
      <c r="C62" s="24" t="inlineStr">
        <is>
          <t>Masuk</t>
        </is>
      </c>
      <c r="D62" s="17" t="inlineStr">
        <is>
          <t>Yuran Lawatan</t>
        </is>
      </c>
      <c r="E62" s="17" t="inlineStr">
        <is>
          <t>Kuchai</t>
        </is>
      </c>
      <c r="F62" s="17" t="inlineStr">
        <is>
          <t>Kuchai (8)</t>
        </is>
      </c>
      <c r="G62" s="15" t="n">
        <v>50</v>
      </c>
      <c r="H62" s="25">
        <f>IF(G62="","",SUMIF(C$2:C62,"Masuk",G$2:G62)-SUMIF(C$2:C62,"Keluar",G$2:G62))</f>
        <v/>
      </c>
    </row>
    <row r="63">
      <c r="A63" s="26" t="inlineStr">
        <is>
          <t>M0062</t>
        </is>
      </c>
      <c r="B63" s="27" t="n">
        <v>45908</v>
      </c>
      <c r="C63" s="28" t="inlineStr">
        <is>
          <t>Masuk</t>
        </is>
      </c>
      <c r="D63" s="29" t="inlineStr">
        <is>
          <t>Majlis</t>
        </is>
      </c>
      <c r="E63" s="29" t="inlineStr">
        <is>
          <t>Bang Mie</t>
        </is>
      </c>
      <c r="F63" s="29" t="inlineStr">
        <is>
          <t>Majlis Mie - Bang Mie</t>
        </is>
      </c>
      <c r="G63" s="30" t="n">
        <v>40</v>
      </c>
      <c r="H63" s="31">
        <f>IF(G63="","",SUMIF(C$2:C63,"Masuk",G$2:G63)-SUMIF(C$2:C63,"Keluar",G$2:G63))</f>
        <v/>
      </c>
    </row>
    <row r="64">
      <c r="A64" s="22" t="inlineStr">
        <is>
          <t>M0063</t>
        </is>
      </c>
      <c r="B64" s="23" t="n">
        <v>45908</v>
      </c>
      <c r="C64" s="24" t="inlineStr">
        <is>
          <t>Masuk</t>
        </is>
      </c>
      <c r="D64" s="17" t="inlineStr">
        <is>
          <t>Majlis</t>
        </is>
      </c>
      <c r="E64" s="17" t="inlineStr">
        <is>
          <t>Hasnol</t>
        </is>
      </c>
      <c r="F64" s="17" t="inlineStr">
        <is>
          <t>Majlis Mie - Hasnol</t>
        </is>
      </c>
      <c r="G64" s="15" t="n">
        <v>40</v>
      </c>
      <c r="H64" s="25">
        <f>IF(G64="","",SUMIF(C$2:C64,"Masuk",G$2:G64)-SUMIF(C$2:C64,"Keluar",G$2:G64))</f>
        <v/>
      </c>
    </row>
    <row r="65">
      <c r="A65" s="26" t="inlineStr">
        <is>
          <t>M0064</t>
        </is>
      </c>
      <c r="B65" s="27" t="n">
        <v>45908</v>
      </c>
      <c r="C65" s="28" t="inlineStr">
        <is>
          <t>Masuk</t>
        </is>
      </c>
      <c r="D65" s="29" t="inlineStr">
        <is>
          <t>Majlis</t>
        </is>
      </c>
      <c r="E65" s="29" t="inlineStr">
        <is>
          <t>Ustaz</t>
        </is>
      </c>
      <c r="F65" s="29" t="inlineStr">
        <is>
          <t>Majlis Mie - Ustaz</t>
        </is>
      </c>
      <c r="G65" s="30" t="n">
        <v>40</v>
      </c>
      <c r="H65" s="31">
        <f>IF(G65="","",SUMIF(C$2:C65,"Masuk",G$2:G65)-SUMIF(C$2:C65,"Keluar",G$2:G65))</f>
        <v/>
      </c>
    </row>
    <row r="66">
      <c r="A66" s="22" t="inlineStr">
        <is>
          <t>M0065</t>
        </is>
      </c>
      <c r="B66" s="23" t="n">
        <v>45908</v>
      </c>
      <c r="C66" s="24" t="inlineStr">
        <is>
          <t>Masuk</t>
        </is>
      </c>
      <c r="D66" s="17" t="inlineStr">
        <is>
          <t>Majlis</t>
        </is>
      </c>
      <c r="E66" s="17" t="inlineStr">
        <is>
          <t>Hadi</t>
        </is>
      </c>
      <c r="F66" s="17" t="inlineStr">
        <is>
          <t>Majlis Mie - Hadi</t>
        </is>
      </c>
      <c r="G66" s="15" t="n">
        <v>40</v>
      </c>
      <c r="H66" s="25">
        <f>IF(G66="","",SUMIF(C$2:C66,"Masuk",G$2:G66)-SUMIF(C$2:C66,"Keluar",G$2:G66))</f>
        <v/>
      </c>
    </row>
    <row r="67">
      <c r="A67" s="26" t="inlineStr">
        <is>
          <t>M0066</t>
        </is>
      </c>
      <c r="B67" s="27" t="n">
        <v>45908</v>
      </c>
      <c r="C67" s="28" t="inlineStr">
        <is>
          <t>Masuk</t>
        </is>
      </c>
      <c r="D67" s="29" t="inlineStr">
        <is>
          <t>Majlis</t>
        </is>
      </c>
      <c r="E67" s="29" t="inlineStr">
        <is>
          <t>Wafi</t>
        </is>
      </c>
      <c r="F67" s="29" t="inlineStr">
        <is>
          <t>Majlis Mie - Wafi</t>
        </is>
      </c>
      <c r="G67" s="30" t="n">
        <v>40</v>
      </c>
      <c r="H67" s="31">
        <f>IF(G67="","",SUMIF(C$2:C67,"Masuk",G$2:G67)-SUMIF(C$2:C67,"Keluar",G$2:G67))</f>
        <v/>
      </c>
    </row>
    <row r="68">
      <c r="A68" s="22" t="inlineStr">
        <is>
          <t>M0067</t>
        </is>
      </c>
      <c r="B68" s="23" t="n">
        <v>45908</v>
      </c>
      <c r="C68" s="24" t="inlineStr">
        <is>
          <t>Masuk</t>
        </is>
      </c>
      <c r="D68" s="17" t="inlineStr">
        <is>
          <t>Majlis</t>
        </is>
      </c>
      <c r="E68" s="17" t="inlineStr">
        <is>
          <t>Amir</t>
        </is>
      </c>
      <c r="F68" s="17" t="inlineStr">
        <is>
          <t>Majlis Mie - Amir</t>
        </is>
      </c>
      <c r="G68" s="15" t="n">
        <v>40</v>
      </c>
      <c r="H68" s="25">
        <f>IF(G68="","",SUMIF(C$2:C68,"Masuk",G$2:G68)-SUMIF(C$2:C68,"Keluar",G$2:G68))</f>
        <v/>
      </c>
    </row>
    <row r="69">
      <c r="A69" s="26" t="inlineStr">
        <is>
          <t>M0068</t>
        </is>
      </c>
      <c r="B69" s="27" t="n">
        <v>45908</v>
      </c>
      <c r="C69" s="28" t="inlineStr">
        <is>
          <t>Masuk</t>
        </is>
      </c>
      <c r="D69" s="29" t="inlineStr">
        <is>
          <t>Majlis</t>
        </is>
      </c>
      <c r="E69" s="29" t="inlineStr">
        <is>
          <t>Joe</t>
        </is>
      </c>
      <c r="F69" s="29" t="inlineStr">
        <is>
          <t>Majlis Mie - Joe</t>
        </is>
      </c>
      <c r="G69" s="30" t="n">
        <v>40</v>
      </c>
      <c r="H69" s="31">
        <f>IF(G69="","",SUMIF(C$2:C69,"Masuk",G$2:G69)-SUMIF(C$2:C69,"Keluar",G$2:G69))</f>
        <v/>
      </c>
    </row>
    <row r="70">
      <c r="A70" s="22" t="inlineStr">
        <is>
          <t>M0069</t>
        </is>
      </c>
      <c r="B70" s="23" t="n">
        <v>45908</v>
      </c>
      <c r="C70" s="24" t="inlineStr">
        <is>
          <t>Masuk</t>
        </is>
      </c>
      <c r="D70" s="17" t="inlineStr">
        <is>
          <t>Majlis</t>
        </is>
      </c>
      <c r="E70" s="17" t="inlineStr">
        <is>
          <t>Chang</t>
        </is>
      </c>
      <c r="F70" s="17" t="inlineStr">
        <is>
          <t>Majlis Mie - Chang</t>
        </is>
      </c>
      <c r="G70" s="15" t="n">
        <v>40</v>
      </c>
      <c r="H70" s="25">
        <f>IF(G70="","",SUMIF(C$2:C70,"Masuk",G$2:G70)-SUMIF(C$2:C70,"Keluar",G$2:G70))</f>
        <v/>
      </c>
    </row>
    <row r="71">
      <c r="A71" s="26" t="inlineStr">
        <is>
          <t>M0070</t>
        </is>
      </c>
      <c r="B71" s="27" t="n">
        <v>45908</v>
      </c>
      <c r="C71" s="28" t="inlineStr">
        <is>
          <t>Masuk</t>
        </is>
      </c>
      <c r="D71" s="29" t="inlineStr">
        <is>
          <t>Majlis</t>
        </is>
      </c>
      <c r="E71" s="29" t="inlineStr">
        <is>
          <t>Kuchai</t>
        </is>
      </c>
      <c r="F71" s="29" t="inlineStr">
        <is>
          <t>Majlis Mie - Kuchai</t>
        </is>
      </c>
      <c r="G71" s="30" t="n">
        <v>40</v>
      </c>
      <c r="H71" s="31">
        <f>IF(G71="","",SUMIF(C$2:C71,"Masuk",G$2:G71)-SUMIF(C$2:C71,"Keluar",G$2:G71))</f>
        <v/>
      </c>
    </row>
    <row r="72">
      <c r="A72" s="22" t="inlineStr">
        <is>
          <t>M0071</t>
        </is>
      </c>
      <c r="B72" s="23" t="n">
        <v>45908</v>
      </c>
      <c r="C72" s="24" t="inlineStr">
        <is>
          <t>Masuk</t>
        </is>
      </c>
      <c r="D72" s="17" t="inlineStr">
        <is>
          <t>Majlis</t>
        </is>
      </c>
      <c r="E72" s="17" t="inlineStr">
        <is>
          <t>Boss Wan</t>
        </is>
      </c>
      <c r="F72" s="17" t="inlineStr">
        <is>
          <t>Majlis Mie - Boss Wan</t>
        </is>
      </c>
      <c r="G72" s="15" t="n">
        <v>40</v>
      </c>
      <c r="H72" s="25">
        <f>IF(G72="","",SUMIF(C$2:C72,"Masuk",G$2:G72)-SUMIF(C$2:C72,"Keluar",G$2:G72))</f>
        <v/>
      </c>
    </row>
    <row r="73">
      <c r="A73" s="26" t="inlineStr">
        <is>
          <t>M0072</t>
        </is>
      </c>
      <c r="B73" s="27" t="n">
        <v>45909</v>
      </c>
      <c r="C73" s="28" t="inlineStr">
        <is>
          <t>Keluar</t>
        </is>
      </c>
      <c r="D73" s="29" t="inlineStr">
        <is>
          <t>Majlis &amp; Hadiah</t>
        </is>
      </c>
      <c r="E73" s="29" t="inlineStr">
        <is>
          <t>Asnawi</t>
        </is>
      </c>
      <c r="F73" s="29" t="inlineStr">
        <is>
          <t>Bayaran Majlis Mie - Asnawi</t>
        </is>
      </c>
      <c r="G73" s="30" t="n">
        <v>500</v>
      </c>
      <c r="H73" s="31">
        <f>IF(G73="","",SUMIF(C$2:C73,"Masuk",G$2:G73)-SUMIF(C$2:C73,"Keluar",G$2:G73))</f>
        <v/>
      </c>
    </row>
    <row r="74">
      <c r="A74" s="22" t="inlineStr">
        <is>
          <t>M0073</t>
        </is>
      </c>
      <c r="B74" s="23" t="n">
        <v>45910</v>
      </c>
      <c r="C74" s="24" t="inlineStr">
        <is>
          <t>Masuk</t>
        </is>
      </c>
      <c r="D74" s="17" t="inlineStr">
        <is>
          <t>Yuran Kelab</t>
        </is>
      </c>
      <c r="E74" s="17" t="inlineStr">
        <is>
          <t>Kuchai</t>
        </is>
      </c>
      <c r="F74" s="17" t="inlineStr">
        <is>
          <t>Kuchai (9, 10, 11, 12)</t>
        </is>
      </c>
      <c r="G74" s="15" t="n">
        <v>140</v>
      </c>
      <c r="H74" s="25">
        <f>IF(G74="","",SUMIF(C$2:C74,"Masuk",G$2:G74)-SUMIF(C$2:C74,"Keluar",G$2:G74))</f>
        <v/>
      </c>
    </row>
    <row r="75">
      <c r="A75" s="26" t="inlineStr">
        <is>
          <t>M0074</t>
        </is>
      </c>
      <c r="B75" s="27" t="n">
        <v>45910</v>
      </c>
      <c r="C75" s="28" t="inlineStr">
        <is>
          <t>Masuk</t>
        </is>
      </c>
      <c r="D75" s="29" t="inlineStr">
        <is>
          <t>Yuran Lawatan</t>
        </is>
      </c>
      <c r="E75" s="29" t="inlineStr">
        <is>
          <t>Kuchai</t>
        </is>
      </c>
      <c r="F75" s="29" t="inlineStr">
        <is>
          <t>Kuchai (9, 10, 11, 12)</t>
        </is>
      </c>
      <c r="G75" s="30" t="n">
        <v>200</v>
      </c>
      <c r="H75" s="31">
        <f>IF(G75="","",SUMIF(C$2:C75,"Masuk",G$2:G75)-SUMIF(C$2:C75,"Keluar",G$2:G75))</f>
        <v/>
      </c>
    </row>
    <row r="76">
      <c r="A76" s="22" t="inlineStr">
        <is>
          <t>M0075</t>
        </is>
      </c>
      <c r="B76" s="23" t="n">
        <v>45923</v>
      </c>
      <c r="C76" s="24" t="inlineStr">
        <is>
          <t>Masuk</t>
        </is>
      </c>
      <c r="D76" s="17" t="inlineStr">
        <is>
          <t>Yuran Kelab</t>
        </is>
      </c>
      <c r="E76" s="17" t="inlineStr">
        <is>
          <t>Hasnol</t>
        </is>
      </c>
      <c r="F76" s="17" t="inlineStr">
        <is>
          <t>Hasnol (Kelab 6, 7, 8, 9)</t>
        </is>
      </c>
      <c r="G76" s="15" t="n">
        <v>140</v>
      </c>
      <c r="H76" s="25">
        <f>IF(G76="","",SUMIF(C$2:C76,"Masuk",G$2:G76)-SUMIF(C$2:C76,"Keluar",G$2:G76))</f>
        <v/>
      </c>
    </row>
    <row r="77">
      <c r="A77" s="26" t="inlineStr">
        <is>
          <t>M0076</t>
        </is>
      </c>
      <c r="B77" s="27" t="n">
        <v>45925</v>
      </c>
      <c r="C77" s="28" t="inlineStr">
        <is>
          <t>Masuk</t>
        </is>
      </c>
      <c r="D77" s="29" t="inlineStr">
        <is>
          <t>Yuran Kelab</t>
        </is>
      </c>
      <c r="E77" s="29" t="inlineStr">
        <is>
          <t>Chang</t>
        </is>
      </c>
      <c r="F77" s="29" t="inlineStr">
        <is>
          <t>Chang (9)</t>
        </is>
      </c>
      <c r="G77" s="30" t="n">
        <v>35</v>
      </c>
      <c r="H77" s="31">
        <f>IF(G77="","",SUMIF(C$2:C77,"Masuk",G$2:G77)-SUMIF(C$2:C77,"Keluar",G$2:G77))</f>
        <v/>
      </c>
    </row>
    <row r="78">
      <c r="A78" s="22" t="inlineStr">
        <is>
          <t>M0077</t>
        </is>
      </c>
      <c r="B78" s="23" t="n">
        <v>45925</v>
      </c>
      <c r="C78" s="24" t="inlineStr">
        <is>
          <t>Masuk</t>
        </is>
      </c>
      <c r="D78" s="17" t="inlineStr">
        <is>
          <t>Yuran Lawatan</t>
        </is>
      </c>
      <c r="E78" s="17" t="inlineStr">
        <is>
          <t>Chang</t>
        </is>
      </c>
      <c r="F78" s="17" t="inlineStr">
        <is>
          <t>Chang (9)</t>
        </is>
      </c>
      <c r="G78" s="15" t="n">
        <v>50</v>
      </c>
      <c r="H78" s="25">
        <f>IF(G78="","",SUMIF(C$2:C78,"Masuk",G$2:G78)-SUMIF(C$2:C78,"Keluar",G$2:G78))</f>
        <v/>
      </c>
    </row>
    <row r="79">
      <c r="A79" s="26" t="inlineStr">
        <is>
          <t>M0078</t>
        </is>
      </c>
      <c r="B79" s="27" t="n">
        <v>45925</v>
      </c>
      <c r="C79" s="28" t="inlineStr">
        <is>
          <t>Masuk</t>
        </is>
      </c>
      <c r="D79" s="29" t="inlineStr">
        <is>
          <t>Yuran Lawatan</t>
        </is>
      </c>
      <c r="E79" s="29" t="inlineStr">
        <is>
          <t>Ustaz</t>
        </is>
      </c>
      <c r="F79" s="29" t="inlineStr">
        <is>
          <t>Ustaz (Lawatan 8)</t>
        </is>
      </c>
      <c r="G79" s="30" t="n">
        <v>50</v>
      </c>
      <c r="H79" s="31">
        <f>IF(G79="","",SUMIF(C$2:C79,"Masuk",G$2:G79)-SUMIF(C$2:C79,"Keluar",G$2:G79))</f>
        <v/>
      </c>
    </row>
    <row r="80">
      <c r="A80" s="22" t="inlineStr">
        <is>
          <t>M0079</t>
        </is>
      </c>
      <c r="B80" s="23" t="n">
        <v>45926</v>
      </c>
      <c r="C80" s="24" t="inlineStr">
        <is>
          <t>Masuk</t>
        </is>
      </c>
      <c r="D80" s="17" t="inlineStr">
        <is>
          <t>Yuran Kelab</t>
        </is>
      </c>
      <c r="E80" s="17" t="inlineStr">
        <is>
          <t>Joe</t>
        </is>
      </c>
      <c r="F80" s="17" t="inlineStr">
        <is>
          <t>Joe (8, 9)</t>
        </is>
      </c>
      <c r="G80" s="15" t="n">
        <v>70</v>
      </c>
      <c r="H80" s="25">
        <f>IF(G80="","",SUMIF(C$2:C80,"Masuk",G$2:G80)-SUMIF(C$2:C80,"Keluar",G$2:G80))</f>
        <v/>
      </c>
    </row>
    <row r="81">
      <c r="A81" s="26" t="inlineStr">
        <is>
          <t>M0080</t>
        </is>
      </c>
      <c r="B81" s="27" t="n">
        <v>45926</v>
      </c>
      <c r="C81" s="28" t="inlineStr">
        <is>
          <t>Masuk</t>
        </is>
      </c>
      <c r="D81" s="29" t="inlineStr">
        <is>
          <t>Yuran Lawatan</t>
        </is>
      </c>
      <c r="E81" s="29" t="inlineStr">
        <is>
          <t>Joe</t>
        </is>
      </c>
      <c r="F81" s="29" t="inlineStr">
        <is>
          <t>Joe (8, 9)</t>
        </is>
      </c>
      <c r="G81" s="30" t="n">
        <v>100</v>
      </c>
      <c r="H81" s="31">
        <f>IF(G81="","",SUMIF(C$2:C81,"Masuk",G$2:G81)-SUMIF(C$2:C81,"Keluar",G$2:G81))</f>
        <v/>
      </c>
    </row>
    <row r="82">
      <c r="A82" s="22" t="inlineStr">
        <is>
          <t>M0081</t>
        </is>
      </c>
      <c r="B82" s="23" t="n">
        <v>45926</v>
      </c>
      <c r="C82" s="24" t="inlineStr">
        <is>
          <t>Masuk</t>
        </is>
      </c>
      <c r="D82" s="17" t="inlineStr">
        <is>
          <t>Yuran Kelab</t>
        </is>
      </c>
      <c r="E82" s="17" t="inlineStr">
        <is>
          <t>Khairiri</t>
        </is>
      </c>
      <c r="F82" s="17" t="inlineStr">
        <is>
          <t>Khairiri (9)</t>
        </is>
      </c>
      <c r="G82" s="15" t="n">
        <v>35</v>
      </c>
      <c r="H82" s="25">
        <f>IF(G82="","",SUMIF(C$2:C82,"Masuk",G$2:G82)-SUMIF(C$2:C82,"Keluar",G$2:G82))</f>
        <v/>
      </c>
    </row>
    <row r="83">
      <c r="A83" s="26" t="inlineStr">
        <is>
          <t>M0082</t>
        </is>
      </c>
      <c r="B83" s="27" t="n">
        <v>45926</v>
      </c>
      <c r="C83" s="28" t="inlineStr">
        <is>
          <t>Masuk</t>
        </is>
      </c>
      <c r="D83" s="29" t="inlineStr">
        <is>
          <t>Yuran Lawatan</t>
        </is>
      </c>
      <c r="E83" s="29" t="inlineStr">
        <is>
          <t>Khairiri</t>
        </is>
      </c>
      <c r="F83" s="29" t="inlineStr">
        <is>
          <t>Khairiri (9)</t>
        </is>
      </c>
      <c r="G83" s="30" t="n">
        <v>50</v>
      </c>
      <c r="H83" s="31">
        <f>IF(G83="","",SUMIF(C$2:C83,"Masuk",G$2:G83)-SUMIF(C$2:C83,"Keluar",G$2:G83))</f>
        <v/>
      </c>
    </row>
    <row r="84">
      <c r="A84" s="22" t="inlineStr">
        <is>
          <t>M0083</t>
        </is>
      </c>
      <c r="B84" s="23" t="n">
        <v>45926</v>
      </c>
      <c r="C84" s="24" t="inlineStr">
        <is>
          <t>Masuk</t>
        </is>
      </c>
      <c r="D84" s="17" t="inlineStr">
        <is>
          <t>Yuran Kelab</t>
        </is>
      </c>
      <c r="E84" s="17" t="inlineStr">
        <is>
          <t>Asnawi</t>
        </is>
      </c>
      <c r="F84" s="17" t="inlineStr">
        <is>
          <t>Asnawi (9)</t>
        </is>
      </c>
      <c r="G84" s="15" t="n">
        <v>35</v>
      </c>
      <c r="H84" s="25">
        <f>IF(G84="","",SUMIF(C$2:C84,"Masuk",G$2:G84)-SUMIF(C$2:C84,"Keluar",G$2:G84))</f>
        <v/>
      </c>
    </row>
    <row r="85">
      <c r="A85" s="26" t="inlineStr">
        <is>
          <t>M0084</t>
        </is>
      </c>
      <c r="B85" s="27" t="n">
        <v>45926</v>
      </c>
      <c r="C85" s="28" t="inlineStr">
        <is>
          <t>Masuk</t>
        </is>
      </c>
      <c r="D85" s="29" t="inlineStr">
        <is>
          <t>Yuran Lawatan</t>
        </is>
      </c>
      <c r="E85" s="29" t="inlineStr">
        <is>
          <t>Asnawi</t>
        </is>
      </c>
      <c r="F85" s="29" t="inlineStr">
        <is>
          <t>Asnawi (9)</t>
        </is>
      </c>
      <c r="G85" s="30" t="n">
        <v>50</v>
      </c>
      <c r="H85" s="31">
        <f>IF(G85="","",SUMIF(C$2:C85,"Masuk",G$2:G85)-SUMIF(C$2:C85,"Keluar",G$2:G85))</f>
        <v/>
      </c>
    </row>
    <row r="86">
      <c r="A86" s="22" t="inlineStr">
        <is>
          <t>M0085</t>
        </is>
      </c>
      <c r="B86" s="23" t="n">
        <v>45926</v>
      </c>
      <c r="C86" s="24" t="inlineStr">
        <is>
          <t>Masuk</t>
        </is>
      </c>
      <c r="D86" s="17" t="inlineStr">
        <is>
          <t>Yuran Lawatan</t>
        </is>
      </c>
      <c r="E86" s="17" t="inlineStr">
        <is>
          <t>Hasnol</t>
        </is>
      </c>
      <c r="F86" s="17" t="inlineStr">
        <is>
          <t>Hasnol (Lawatan 6)</t>
        </is>
      </c>
      <c r="G86" s="15" t="n">
        <v>80</v>
      </c>
      <c r="H86" s="25">
        <f>IF(G86="","",SUMIF(C$2:C86,"Masuk",G$2:G86)-SUMIF(C$2:C86,"Keluar",G$2:G86))</f>
        <v/>
      </c>
    </row>
    <row r="87">
      <c r="A87" s="26" t="inlineStr">
        <is>
          <t>M0086</t>
        </is>
      </c>
      <c r="B87" s="27" t="n">
        <v>45926</v>
      </c>
      <c r="C87" s="28" t="inlineStr">
        <is>
          <t>Masuk</t>
        </is>
      </c>
      <c r="D87" s="29" t="inlineStr">
        <is>
          <t>Yuran Kelab</t>
        </is>
      </c>
      <c r="E87" s="29" t="inlineStr">
        <is>
          <t>Bang Mie</t>
        </is>
      </c>
      <c r="F87" s="29" t="inlineStr">
        <is>
          <t>Bang Mie (9)</t>
        </is>
      </c>
      <c r="G87" s="30" t="n">
        <v>35</v>
      </c>
      <c r="H87" s="31">
        <f>IF(G87="","",SUMIF(C$2:C87,"Masuk",G$2:G87)-SUMIF(C$2:C87,"Keluar",G$2:G87))</f>
        <v/>
      </c>
    </row>
    <row r="88">
      <c r="A88" s="22" t="inlineStr">
        <is>
          <t>M0087</t>
        </is>
      </c>
      <c r="B88" s="23" t="n">
        <v>45926</v>
      </c>
      <c r="C88" s="24" t="inlineStr">
        <is>
          <t>Masuk</t>
        </is>
      </c>
      <c r="D88" s="17" t="inlineStr">
        <is>
          <t>Yuran Lawatan</t>
        </is>
      </c>
      <c r="E88" s="17" t="inlineStr">
        <is>
          <t>Bang Mie</t>
        </is>
      </c>
      <c r="F88" s="17" t="inlineStr">
        <is>
          <t>Bang Mie (9)</t>
        </is>
      </c>
      <c r="G88" s="15" t="n">
        <v>50</v>
      </c>
      <c r="H88" s="25">
        <f>IF(G88="","",SUMIF(C$2:C88,"Masuk",G$2:G88)-SUMIF(C$2:C88,"Keluar",G$2:G88))</f>
        <v/>
      </c>
    </row>
    <row r="89">
      <c r="A89" s="26" t="inlineStr">
        <is>
          <t>M0088</t>
        </is>
      </c>
      <c r="B89" s="27" t="n">
        <v>45926</v>
      </c>
      <c r="C89" s="28" t="inlineStr">
        <is>
          <t>Masuk</t>
        </is>
      </c>
      <c r="D89" s="29" t="inlineStr">
        <is>
          <t>Yuran Kelab</t>
        </is>
      </c>
      <c r="E89" s="29" t="inlineStr">
        <is>
          <t>Boss Wan</t>
        </is>
      </c>
      <c r="F89" s="29" t="inlineStr">
        <is>
          <t>Boss Wan (9)</t>
        </is>
      </c>
      <c r="G89" s="30" t="n">
        <v>35</v>
      </c>
      <c r="H89" s="31">
        <f>IF(G89="","",SUMIF(C$2:C89,"Masuk",G$2:G89)-SUMIF(C$2:C89,"Keluar",G$2:G89))</f>
        <v/>
      </c>
    </row>
    <row r="90">
      <c r="A90" s="22" t="inlineStr">
        <is>
          <t>M0089</t>
        </is>
      </c>
      <c r="B90" s="23" t="n">
        <v>45926</v>
      </c>
      <c r="C90" s="24" t="inlineStr">
        <is>
          <t>Masuk</t>
        </is>
      </c>
      <c r="D90" s="17" t="inlineStr">
        <is>
          <t>Yuran Lawatan</t>
        </is>
      </c>
      <c r="E90" s="17" t="inlineStr">
        <is>
          <t>Boss Wan</t>
        </is>
      </c>
      <c r="F90" s="17" t="inlineStr">
        <is>
          <t>Boss Wan (9)</t>
        </is>
      </c>
      <c r="G90" s="15" t="n">
        <v>50</v>
      </c>
      <c r="H90" s="25">
        <f>IF(G90="","",SUMIF(C$2:C90,"Masuk",G$2:G90)-SUMIF(C$2:C90,"Keluar",G$2:G90))</f>
        <v/>
      </c>
    </row>
    <row r="91">
      <c r="A91" s="26" t="inlineStr">
        <is>
          <t>M0090</t>
        </is>
      </c>
      <c r="B91" s="27" t="n">
        <v>45928</v>
      </c>
      <c r="C91" s="28" t="inlineStr">
        <is>
          <t>Keluar</t>
        </is>
      </c>
      <c r="D91" s="29" t="inlineStr">
        <is>
          <t>Duit Pantri</t>
        </is>
      </c>
      <c r="E91" s="29" t="inlineStr">
        <is>
          <t>Asnawi</t>
        </is>
      </c>
      <c r="F91" s="29" t="inlineStr">
        <is>
          <t>Bayaran Duit Pantri - Asnawi</t>
        </is>
      </c>
      <c r="G91" s="30" t="n">
        <v>60</v>
      </c>
      <c r="H91" s="31">
        <f>IF(G91="","",SUMIF(C$2:C91,"Masuk",G$2:G91)-SUMIF(C$2:C91,"Keluar",G$2:G91))</f>
        <v/>
      </c>
    </row>
    <row r="92">
      <c r="A92" s="22" t="inlineStr">
        <is>
          <t>M0091</t>
        </is>
      </c>
      <c r="B92" s="23" t="n">
        <v>45929</v>
      </c>
      <c r="C92" s="24" t="inlineStr">
        <is>
          <t>Masuk</t>
        </is>
      </c>
      <c r="D92" s="17" t="inlineStr">
        <is>
          <t>Sumbangan</t>
        </is>
      </c>
      <c r="E92" s="17" t="inlineStr">
        <is>
          <t>Hasnol</t>
        </is>
      </c>
      <c r="F92" s="17" t="inlineStr">
        <is>
          <t>Sumbangan Ustaz - Hasnol (Diambil daripada duit)</t>
        </is>
      </c>
      <c r="G92" s="15" t="n">
        <v>10</v>
      </c>
      <c r="H92" s="25">
        <f>IF(G92="","",SUMIF(C$2:C92,"Masuk",G$2:G92)-SUMIF(C$2:C92,"Keluar",G$2:G92))</f>
        <v/>
      </c>
    </row>
    <row r="93">
      <c r="A93" s="26" t="inlineStr">
        <is>
          <t>M0092</t>
        </is>
      </c>
      <c r="B93" s="27" t="n">
        <v>45932</v>
      </c>
      <c r="C93" s="28" t="inlineStr">
        <is>
          <t>Masuk</t>
        </is>
      </c>
      <c r="D93" s="29" t="inlineStr">
        <is>
          <t>Yuran Lawatan</t>
        </is>
      </c>
      <c r="E93" s="29" t="inlineStr">
        <is>
          <t>Boss Khairil</t>
        </is>
      </c>
      <c r="F93" s="29" t="inlineStr">
        <is>
          <t>Boss Khairil (9)</t>
        </is>
      </c>
      <c r="G93" s="30" t="n">
        <v>50</v>
      </c>
      <c r="H93" s="31">
        <f>IF(G93="","",SUMIF(C$2:C93,"Masuk",G$2:G93)-SUMIF(C$2:C93,"Keluar",G$2:G93))</f>
        <v/>
      </c>
    </row>
    <row r="94">
      <c r="A94" s="22" t="inlineStr">
        <is>
          <t>M0093</t>
        </is>
      </c>
      <c r="B94" s="23" t="n">
        <v>45944</v>
      </c>
      <c r="C94" s="24" t="inlineStr">
        <is>
          <t>Masuk</t>
        </is>
      </c>
      <c r="D94" s="17" t="inlineStr">
        <is>
          <t>Yuran Kelab</t>
        </is>
      </c>
      <c r="E94" s="17" t="inlineStr">
        <is>
          <t>Hadi</t>
        </is>
      </c>
      <c r="F94" s="17" t="inlineStr">
        <is>
          <t>Hadi (9)</t>
        </is>
      </c>
      <c r="G94" s="15" t="n">
        <v>35</v>
      </c>
      <c r="H94" s="25">
        <f>IF(G94="","",SUMIF(C$2:C94,"Masuk",G$2:G94)-SUMIF(C$2:C94,"Keluar",G$2:G94))</f>
        <v/>
      </c>
    </row>
    <row r="95">
      <c r="A95" s="26" t="inlineStr">
        <is>
          <t>M0094</t>
        </is>
      </c>
      <c r="B95" s="27" t="n">
        <v>45944</v>
      </c>
      <c r="C95" s="28" t="inlineStr">
        <is>
          <t>Masuk</t>
        </is>
      </c>
      <c r="D95" s="29" t="inlineStr">
        <is>
          <t>Yuran Lawatan</t>
        </is>
      </c>
      <c r="E95" s="29" t="inlineStr">
        <is>
          <t>Hadi</t>
        </is>
      </c>
      <c r="F95" s="29" t="inlineStr">
        <is>
          <t>Hadi (9)</t>
        </is>
      </c>
      <c r="G95" s="30" t="n">
        <v>50</v>
      </c>
      <c r="H95" s="31">
        <f>IF(G95="","",SUMIF(C$2:C95,"Masuk",G$2:G95)-SUMIF(C$2:C95,"Keluar",G$2:G95))</f>
        <v/>
      </c>
    </row>
    <row r="96">
      <c r="A96" s="22" t="inlineStr">
        <is>
          <t>M0095</t>
        </is>
      </c>
      <c r="B96" s="23" t="n">
        <v>45946</v>
      </c>
      <c r="C96" s="24" t="inlineStr">
        <is>
          <t>Masuk</t>
        </is>
      </c>
      <c r="D96" s="17" t="inlineStr">
        <is>
          <t>Yuran Kelab</t>
        </is>
      </c>
      <c r="E96" s="17" t="inlineStr">
        <is>
          <t>Bang Mie</t>
        </is>
      </c>
      <c r="F96" s="17" t="inlineStr">
        <is>
          <t>Bang Mie (10)</t>
        </is>
      </c>
      <c r="G96" s="15" t="n">
        <v>35</v>
      </c>
      <c r="H96" s="25">
        <f>IF(G96="","",SUMIF(C$2:C96,"Masuk",G$2:G96)-SUMIF(C$2:C96,"Keluar",G$2:G96))</f>
        <v/>
      </c>
    </row>
    <row r="97">
      <c r="A97" s="26" t="inlineStr">
        <is>
          <t>M0096</t>
        </is>
      </c>
      <c r="B97" s="27" t="n">
        <v>45946</v>
      </c>
      <c r="C97" s="28" t="inlineStr">
        <is>
          <t>Masuk</t>
        </is>
      </c>
      <c r="D97" s="29" t="inlineStr">
        <is>
          <t>Yuran Lawatan</t>
        </is>
      </c>
      <c r="E97" s="29" t="inlineStr">
        <is>
          <t>Bang Mie</t>
        </is>
      </c>
      <c r="F97" s="29" t="inlineStr">
        <is>
          <t>Bang Mie (10)</t>
        </is>
      </c>
      <c r="G97" s="30" t="n">
        <v>50</v>
      </c>
      <c r="H97" s="31">
        <f>IF(G97="","",SUMIF(C$2:C97,"Masuk",G$2:G97)-SUMIF(C$2:C97,"Keluar",G$2:G97))</f>
        <v/>
      </c>
    </row>
    <row r="98">
      <c r="A98" s="22" t="inlineStr">
        <is>
          <t>M0097</t>
        </is>
      </c>
      <c r="B98" s="23" t="n">
        <v>45946</v>
      </c>
      <c r="C98" s="24" t="inlineStr">
        <is>
          <t>Masuk</t>
        </is>
      </c>
      <c r="D98" s="17" t="inlineStr">
        <is>
          <t>Yuran Kelab</t>
        </is>
      </c>
      <c r="E98" s="17" t="inlineStr">
        <is>
          <t>Asnawi</t>
        </is>
      </c>
      <c r="F98" s="17" t="inlineStr">
        <is>
          <t>Asnawi (10)</t>
        </is>
      </c>
      <c r="G98" s="15" t="n">
        <v>35</v>
      </c>
      <c r="H98" s="25">
        <f>IF(G98="","",SUMIF(C$2:C98,"Masuk",G$2:G98)-SUMIF(C$2:C98,"Keluar",G$2:G98))</f>
        <v/>
      </c>
    </row>
    <row r="99">
      <c r="A99" s="26" t="inlineStr">
        <is>
          <t>M0098</t>
        </is>
      </c>
      <c r="B99" s="27" t="n">
        <v>45946</v>
      </c>
      <c r="C99" s="28" t="inlineStr">
        <is>
          <t>Masuk</t>
        </is>
      </c>
      <c r="D99" s="29" t="inlineStr">
        <is>
          <t>Yuran Lawatan</t>
        </is>
      </c>
      <c r="E99" s="29" t="inlineStr">
        <is>
          <t>Asnawi</t>
        </is>
      </c>
      <c r="F99" s="29" t="inlineStr">
        <is>
          <t>Asnawi (10)</t>
        </is>
      </c>
      <c r="G99" s="30" t="n">
        <v>50</v>
      </c>
      <c r="H99" s="31">
        <f>IF(G99="","",SUMIF(C$2:C99,"Masuk",G$2:G99)-SUMIF(C$2:C99,"Keluar",G$2:G99))</f>
        <v/>
      </c>
    </row>
    <row r="100">
      <c r="A100" s="22" t="inlineStr">
        <is>
          <t>M0099</t>
        </is>
      </c>
      <c r="B100" s="23" t="n">
        <v>45946</v>
      </c>
      <c r="C100" s="24" t="inlineStr">
        <is>
          <t>Masuk</t>
        </is>
      </c>
      <c r="D100" s="17" t="inlineStr">
        <is>
          <t>Yuran Kelab</t>
        </is>
      </c>
      <c r="E100" s="17" t="inlineStr">
        <is>
          <t>Boss Wan</t>
        </is>
      </c>
      <c r="F100" s="17" t="inlineStr">
        <is>
          <t>Boss Wan (10)</t>
        </is>
      </c>
      <c r="G100" s="15" t="n">
        <v>35</v>
      </c>
      <c r="H100" s="25">
        <f>IF(G100="","",SUMIF(C$2:C100,"Masuk",G$2:G100)-SUMIF(C$2:C100,"Keluar",G$2:G100))</f>
        <v/>
      </c>
    </row>
    <row r="101">
      <c r="A101" s="26" t="inlineStr">
        <is>
          <t>M0100</t>
        </is>
      </c>
      <c r="B101" s="27" t="n">
        <v>45946</v>
      </c>
      <c r="C101" s="28" t="inlineStr">
        <is>
          <t>Masuk</t>
        </is>
      </c>
      <c r="D101" s="29" t="inlineStr">
        <is>
          <t>Yuran Lawatan</t>
        </is>
      </c>
      <c r="E101" s="29" t="inlineStr">
        <is>
          <t>Boss Wan</t>
        </is>
      </c>
      <c r="F101" s="29" t="inlineStr">
        <is>
          <t>Boss Wan (10)</t>
        </is>
      </c>
      <c r="G101" s="30" t="n">
        <v>50</v>
      </c>
      <c r="H101" s="31">
        <f>IF(G101="","",SUMIF(C$2:C101,"Masuk",G$2:G101)-SUMIF(C$2:C101,"Keluar",G$2:G101))</f>
        <v/>
      </c>
    </row>
    <row r="102">
      <c r="A102" s="22" t="inlineStr">
        <is>
          <t>M0101</t>
        </is>
      </c>
      <c r="B102" s="23" t="n">
        <v>45947</v>
      </c>
      <c r="C102" s="24" t="inlineStr">
        <is>
          <t>Masuk</t>
        </is>
      </c>
      <c r="D102" s="17" t="inlineStr">
        <is>
          <t>Yuran Kelab</t>
        </is>
      </c>
      <c r="E102" s="17" t="inlineStr">
        <is>
          <t>Khairiri</t>
        </is>
      </c>
      <c r="F102" s="17" t="inlineStr">
        <is>
          <t>Khairiri (10)</t>
        </is>
      </c>
      <c r="G102" s="15" t="n">
        <v>35</v>
      </c>
      <c r="H102" s="25">
        <f>IF(G102="","",SUMIF(C$2:C102,"Masuk",G$2:G102)-SUMIF(C$2:C102,"Keluar",G$2:G102))</f>
        <v/>
      </c>
    </row>
    <row r="103">
      <c r="A103" s="26" t="inlineStr">
        <is>
          <t>M0102</t>
        </is>
      </c>
      <c r="B103" s="27" t="n">
        <v>45947</v>
      </c>
      <c r="C103" s="28" t="inlineStr">
        <is>
          <t>Masuk</t>
        </is>
      </c>
      <c r="D103" s="29" t="inlineStr">
        <is>
          <t>Yuran Lawatan</t>
        </is>
      </c>
      <c r="E103" s="29" t="inlineStr">
        <is>
          <t>Khairiri</t>
        </is>
      </c>
      <c r="F103" s="29" t="inlineStr">
        <is>
          <t>Khairiri (10)</t>
        </is>
      </c>
      <c r="G103" s="30" t="n">
        <v>50</v>
      </c>
      <c r="H103" s="31">
        <f>IF(G103="","",SUMIF(C$2:C103,"Masuk",G$2:G103)-SUMIF(C$2:C103,"Keluar",G$2:G103))</f>
        <v/>
      </c>
    </row>
    <row r="104">
      <c r="A104" s="22" t="inlineStr">
        <is>
          <t>M0103</t>
        </is>
      </c>
      <c r="B104" s="23" t="n">
        <v>45949</v>
      </c>
      <c r="C104" s="24" t="inlineStr">
        <is>
          <t>Masuk</t>
        </is>
      </c>
      <c r="D104" s="17" t="inlineStr">
        <is>
          <t>Yuran Kelab</t>
        </is>
      </c>
      <c r="E104" s="17" t="inlineStr">
        <is>
          <t>Chang</t>
        </is>
      </c>
      <c r="F104" s="17" t="inlineStr">
        <is>
          <t>Chang (10)</t>
        </is>
      </c>
      <c r="G104" s="15" t="n">
        <v>35</v>
      </c>
      <c r="H104" s="25">
        <f>IF(G104="","",SUMIF(C$2:C104,"Masuk",G$2:G104)-SUMIF(C$2:C104,"Keluar",G$2:G104))</f>
        <v/>
      </c>
    </row>
    <row r="105">
      <c r="A105" s="26" t="inlineStr">
        <is>
          <t>M0104</t>
        </is>
      </c>
      <c r="B105" s="27" t="n">
        <v>45949</v>
      </c>
      <c r="C105" s="28" t="inlineStr">
        <is>
          <t>Masuk</t>
        </is>
      </c>
      <c r="D105" s="29" t="inlineStr">
        <is>
          <t>Yuran Lawatan</t>
        </is>
      </c>
      <c r="E105" s="29" t="inlineStr">
        <is>
          <t>Chang</t>
        </is>
      </c>
      <c r="F105" s="29" t="inlineStr">
        <is>
          <t>Chang (10)</t>
        </is>
      </c>
      <c r="G105" s="30" t="n">
        <v>50</v>
      </c>
      <c r="H105" s="31">
        <f>IF(G105="","",SUMIF(C$2:C105,"Masuk",G$2:G105)-SUMIF(C$2:C105,"Keluar",G$2:G105))</f>
        <v/>
      </c>
    </row>
    <row r="106">
      <c r="A106" s="22" t="inlineStr">
        <is>
          <t>M0105</t>
        </is>
      </c>
      <c r="B106" s="23" t="n">
        <v>45954</v>
      </c>
      <c r="C106" s="24" t="inlineStr">
        <is>
          <t>Masuk</t>
        </is>
      </c>
      <c r="D106" s="17" t="inlineStr">
        <is>
          <t>Yuran Lawatan</t>
        </is>
      </c>
      <c r="E106" s="17" t="inlineStr">
        <is>
          <t>Boss Khairil</t>
        </is>
      </c>
      <c r="F106" s="17" t="inlineStr">
        <is>
          <t>Boss Khairil (Lawatan 10)</t>
        </is>
      </c>
      <c r="G106" s="15" t="n">
        <v>50</v>
      </c>
      <c r="H106" s="25">
        <f>IF(G106="","",SUMIF(C$2:C106,"Masuk",G$2:G106)-SUMIF(C$2:C106,"Keluar",G$2:G106))</f>
        <v/>
      </c>
    </row>
    <row r="107">
      <c r="A107" s="26" t="inlineStr">
        <is>
          <t>M0106</t>
        </is>
      </c>
      <c r="B107" s="27" t="n">
        <v>45955</v>
      </c>
      <c r="C107" s="28" t="inlineStr">
        <is>
          <t>Masuk</t>
        </is>
      </c>
      <c r="D107" s="29" t="inlineStr">
        <is>
          <t>Yuran Lawatan</t>
        </is>
      </c>
      <c r="E107" s="29" t="inlineStr">
        <is>
          <t>Ustaz</t>
        </is>
      </c>
      <c r="F107" s="29" t="inlineStr">
        <is>
          <t>Ustaz (Lawatan 10)</t>
        </is>
      </c>
      <c r="G107" s="30" t="n">
        <v>50</v>
      </c>
      <c r="H107" s="31">
        <f>IF(G107="","",SUMIF(C$2:C107,"Masuk",G$2:G107)-SUMIF(C$2:C107,"Keluar",G$2:G107))</f>
        <v/>
      </c>
    </row>
    <row r="108">
      <c r="A108" s="22" t="inlineStr">
        <is>
          <t>M0107</t>
        </is>
      </c>
      <c r="B108" s="23" t="n">
        <v>45958</v>
      </c>
      <c r="C108" s="24" t="inlineStr">
        <is>
          <t>Keluar</t>
        </is>
      </c>
      <c r="D108" s="17" t="inlineStr">
        <is>
          <t>Duit Pantri</t>
        </is>
      </c>
      <c r="E108" s="17" t="inlineStr">
        <is>
          <t>Asnawi</t>
        </is>
      </c>
      <c r="F108" s="17" t="inlineStr">
        <is>
          <t>Bayaran Duit Pantri - Asnawi</t>
        </is>
      </c>
      <c r="G108" s="15" t="n">
        <v>60</v>
      </c>
      <c r="H108" s="25">
        <f>IF(G108="","",SUMIF(C$2:C108,"Masuk",G$2:G108)-SUMIF(C$2:C108,"Keluar",G$2:G108))</f>
        <v/>
      </c>
    </row>
    <row r="109">
      <c r="A109" s="26" t="inlineStr">
        <is>
          <t>M0108</t>
        </is>
      </c>
      <c r="B109" s="27" t="n">
        <v>45981</v>
      </c>
      <c r="C109" s="28" t="inlineStr">
        <is>
          <t>Masuk</t>
        </is>
      </c>
      <c r="D109" s="29" t="inlineStr">
        <is>
          <t>Yuran Kelab</t>
        </is>
      </c>
      <c r="E109" s="29" t="inlineStr">
        <is>
          <t>Bang Mie</t>
        </is>
      </c>
      <c r="F109" s="29" t="inlineStr">
        <is>
          <t>Bang Mie (11)</t>
        </is>
      </c>
      <c r="G109" s="30" t="n">
        <v>35</v>
      </c>
      <c r="H109" s="31">
        <f>IF(G109="","",SUMIF(C$2:C109,"Masuk",G$2:G109)-SUMIF(C$2:C109,"Keluar",G$2:G109))</f>
        <v/>
      </c>
    </row>
    <row r="110">
      <c r="A110" s="22" t="inlineStr">
        <is>
          <t>M0109</t>
        </is>
      </c>
      <c r="B110" s="23" t="n">
        <v>45981</v>
      </c>
      <c r="C110" s="24" t="inlineStr">
        <is>
          <t>Masuk</t>
        </is>
      </c>
      <c r="D110" s="17" t="inlineStr">
        <is>
          <t>Yuran Lawatan</t>
        </is>
      </c>
      <c r="E110" s="17" t="inlineStr">
        <is>
          <t>Bang Mie</t>
        </is>
      </c>
      <c r="F110" s="17" t="inlineStr">
        <is>
          <t>Bang Mie (11)</t>
        </is>
      </c>
      <c r="G110" s="15" t="n">
        <v>50</v>
      </c>
      <c r="H110" s="25">
        <f>IF(G110="","",SUMIF(C$2:C110,"Masuk",G$2:G110)-SUMIF(C$2:C110,"Keluar",G$2:G110))</f>
        <v/>
      </c>
    </row>
    <row r="111">
      <c r="A111" s="26" t="inlineStr">
        <is>
          <t>M0110</t>
        </is>
      </c>
      <c r="B111" s="27" t="n">
        <v>45981</v>
      </c>
      <c r="C111" s="28" t="inlineStr">
        <is>
          <t>Masuk</t>
        </is>
      </c>
      <c r="D111" s="29" t="inlineStr">
        <is>
          <t>Yuran Kelab</t>
        </is>
      </c>
      <c r="E111" s="29" t="inlineStr">
        <is>
          <t>Khairiri</t>
        </is>
      </c>
      <c r="F111" s="29" t="inlineStr">
        <is>
          <t>Khairiri (11)</t>
        </is>
      </c>
      <c r="G111" s="30" t="n">
        <v>35</v>
      </c>
      <c r="H111" s="31">
        <f>IF(G111="","",SUMIF(C$2:C111,"Masuk",G$2:G111)-SUMIF(C$2:C111,"Keluar",G$2:G111))</f>
        <v/>
      </c>
    </row>
    <row r="112">
      <c r="A112" s="22" t="inlineStr">
        <is>
          <t>M0111</t>
        </is>
      </c>
      <c r="B112" s="23" t="n">
        <v>45981</v>
      </c>
      <c r="C112" s="24" t="inlineStr">
        <is>
          <t>Masuk</t>
        </is>
      </c>
      <c r="D112" s="17" t="inlineStr">
        <is>
          <t>Yuran Lawatan</t>
        </is>
      </c>
      <c r="E112" s="17" t="inlineStr">
        <is>
          <t>Khairiri</t>
        </is>
      </c>
      <c r="F112" s="17" t="inlineStr">
        <is>
          <t>Khairiri (11)</t>
        </is>
      </c>
      <c r="G112" s="15" t="n">
        <v>50</v>
      </c>
      <c r="H112" s="25">
        <f>IF(G112="","",SUMIF(C$2:C112,"Masuk",G$2:G112)-SUMIF(C$2:C112,"Keluar",G$2:G112))</f>
        <v/>
      </c>
    </row>
    <row r="113">
      <c r="A113" s="26" t="inlineStr">
        <is>
          <t>M0112</t>
        </is>
      </c>
      <c r="B113" s="27" t="n">
        <v>45981</v>
      </c>
      <c r="C113" s="28" t="inlineStr">
        <is>
          <t>Masuk</t>
        </is>
      </c>
      <c r="D113" s="29" t="inlineStr">
        <is>
          <t>Yuran Lawatan</t>
        </is>
      </c>
      <c r="E113" s="29" t="inlineStr">
        <is>
          <t>Ustaz</t>
        </is>
      </c>
      <c r="F113" s="29" t="inlineStr">
        <is>
          <t>Ustaz (Lawatan 11)</t>
        </is>
      </c>
      <c r="G113" s="30" t="n">
        <v>50</v>
      </c>
      <c r="H113" s="31">
        <f>IF(G113="","",SUMIF(C$2:C113,"Masuk",G$2:G113)-SUMIF(C$2:C113,"Keluar",G$2:G113))</f>
        <v/>
      </c>
    </row>
    <row r="114">
      <c r="A114" s="22" t="inlineStr">
        <is>
          <t>M0113</t>
        </is>
      </c>
      <c r="B114" s="23" t="n">
        <v>45982</v>
      </c>
      <c r="C114" s="24" t="inlineStr">
        <is>
          <t>Masuk</t>
        </is>
      </c>
      <c r="D114" s="17" t="inlineStr">
        <is>
          <t>Yuran Kelab</t>
        </is>
      </c>
      <c r="E114" s="17" t="inlineStr">
        <is>
          <t>Asnawi</t>
        </is>
      </c>
      <c r="F114" s="17" t="inlineStr">
        <is>
          <t>Asnawi (11)</t>
        </is>
      </c>
      <c r="G114" s="15" t="n">
        <v>35</v>
      </c>
      <c r="H114" s="25">
        <f>IF(G114="","",SUMIF(C$2:C114,"Masuk",G$2:G114)-SUMIF(C$2:C114,"Keluar",G$2:G114))</f>
        <v/>
      </c>
    </row>
    <row r="115">
      <c r="A115" s="26" t="inlineStr">
        <is>
          <t>M0114</t>
        </is>
      </c>
      <c r="B115" s="27" t="n">
        <v>45982</v>
      </c>
      <c r="C115" s="28" t="inlineStr">
        <is>
          <t>Masuk</t>
        </is>
      </c>
      <c r="D115" s="29" t="inlineStr">
        <is>
          <t>Yuran Lawatan</t>
        </is>
      </c>
      <c r="E115" s="29" t="inlineStr">
        <is>
          <t>Asnawi</t>
        </is>
      </c>
      <c r="F115" s="29" t="inlineStr">
        <is>
          <t>Asnawi (11)</t>
        </is>
      </c>
      <c r="G115" s="30" t="n">
        <v>50</v>
      </c>
      <c r="H115" s="31">
        <f>IF(G115="","",SUMIF(C$2:C115,"Masuk",G$2:G115)-SUMIF(C$2:C115,"Keluar",G$2:G115))</f>
        <v/>
      </c>
    </row>
    <row r="116">
      <c r="A116" s="22" t="inlineStr">
        <is>
          <t>M0115</t>
        </is>
      </c>
      <c r="B116" s="23" t="n">
        <v>45987</v>
      </c>
      <c r="C116" s="24" t="inlineStr">
        <is>
          <t>Masuk</t>
        </is>
      </c>
      <c r="D116" s="17" t="inlineStr">
        <is>
          <t>Yuran Kelab</t>
        </is>
      </c>
      <c r="E116" s="17" t="inlineStr">
        <is>
          <t>Hadi</t>
        </is>
      </c>
      <c r="F116" s="17" t="inlineStr">
        <is>
          <t>Hadi (10, 11)</t>
        </is>
      </c>
      <c r="G116" s="15" t="n">
        <v>70</v>
      </c>
      <c r="H116" s="25">
        <f>IF(G116="","",SUMIF(C$2:C116,"Masuk",G$2:G116)-SUMIF(C$2:C116,"Keluar",G$2:G116))</f>
        <v/>
      </c>
    </row>
    <row r="117">
      <c r="A117" s="26" t="inlineStr">
        <is>
          <t>M0116</t>
        </is>
      </c>
      <c r="B117" s="27" t="n">
        <v>45987</v>
      </c>
      <c r="C117" s="28" t="inlineStr">
        <is>
          <t>Masuk</t>
        </is>
      </c>
      <c r="D117" s="29" t="inlineStr">
        <is>
          <t>Yuran Lawatan</t>
        </is>
      </c>
      <c r="E117" s="29" t="inlineStr">
        <is>
          <t>Hadi</t>
        </is>
      </c>
      <c r="F117" s="29" t="inlineStr">
        <is>
          <t>Hadi (10, 11)</t>
        </is>
      </c>
      <c r="G117" s="30" t="n">
        <v>100</v>
      </c>
      <c r="H117" s="31">
        <f>IF(G117="","",SUMIF(C$2:C117,"Masuk",G$2:G117)-SUMIF(C$2:C117,"Keluar",G$2:G117))</f>
        <v/>
      </c>
    </row>
    <row r="118">
      <c r="A118" s="22" t="inlineStr">
        <is>
          <t>M0117</t>
        </is>
      </c>
      <c r="B118" s="23" t="n">
        <v>45987</v>
      </c>
      <c r="C118" s="24" t="inlineStr">
        <is>
          <t>Masuk</t>
        </is>
      </c>
      <c r="D118" s="17" t="inlineStr">
        <is>
          <t>Yuran Kelab</t>
        </is>
      </c>
      <c r="E118" s="17" t="inlineStr">
        <is>
          <t>Hasnol</t>
        </is>
      </c>
      <c r="F118" s="17" t="inlineStr">
        <is>
          <t>Hasnol (Kelab 10, 11, 12)</t>
        </is>
      </c>
      <c r="G118" s="15" t="n">
        <v>105</v>
      </c>
      <c r="H118" s="25">
        <f>IF(G118="","",SUMIF(C$2:C118,"Masuk",G$2:G118)-SUMIF(C$2:C118,"Keluar",G$2:G118))</f>
        <v/>
      </c>
    </row>
    <row r="119">
      <c r="A119" s="26" t="inlineStr">
        <is>
          <t>M0118</t>
        </is>
      </c>
      <c r="B119" s="27" t="n">
        <v>45987</v>
      </c>
      <c r="C119" s="28" t="inlineStr">
        <is>
          <t>Masuk</t>
        </is>
      </c>
      <c r="D119" s="29" t="inlineStr">
        <is>
          <t>Yuran Kelab</t>
        </is>
      </c>
      <c r="E119" s="29" t="inlineStr">
        <is>
          <t>Wafi</t>
        </is>
      </c>
      <c r="F119" s="29" t="inlineStr">
        <is>
          <t>Wafi (Kelab 7, 8, 9, 10)</t>
        </is>
      </c>
      <c r="G119" s="30" t="n">
        <v>140</v>
      </c>
      <c r="H119" s="31">
        <f>IF(G119="","",SUMIF(C$2:C119,"Masuk",G$2:G119)-SUMIF(C$2:C119,"Keluar",G$2:G119))</f>
        <v/>
      </c>
    </row>
    <row r="120">
      <c r="A120" s="22" t="inlineStr">
        <is>
          <t>M0119</t>
        </is>
      </c>
      <c r="B120" s="23" t="n">
        <v>45987</v>
      </c>
      <c r="C120" s="24" t="inlineStr">
        <is>
          <t>Masuk</t>
        </is>
      </c>
      <c r="D120" s="17" t="inlineStr">
        <is>
          <t>Yuran Kelab</t>
        </is>
      </c>
      <c r="E120" s="17" t="inlineStr">
        <is>
          <t>Boss Wan</t>
        </is>
      </c>
      <c r="F120" s="17" t="inlineStr">
        <is>
          <t>Boss Wan (11)</t>
        </is>
      </c>
      <c r="G120" s="15" t="n">
        <v>35</v>
      </c>
      <c r="H120" s="25">
        <f>IF(G120="","",SUMIF(C$2:C120,"Masuk",G$2:G120)-SUMIF(C$2:C120,"Keluar",G$2:G120))</f>
        <v/>
      </c>
    </row>
    <row r="121">
      <c r="A121" s="26" t="inlineStr">
        <is>
          <t>M0120</t>
        </is>
      </c>
      <c r="B121" s="27" t="n">
        <v>45987</v>
      </c>
      <c r="C121" s="28" t="inlineStr">
        <is>
          <t>Masuk</t>
        </is>
      </c>
      <c r="D121" s="29" t="inlineStr">
        <is>
          <t>Yuran Lawatan</t>
        </is>
      </c>
      <c r="E121" s="29" t="inlineStr">
        <is>
          <t>Boss Wan</t>
        </is>
      </c>
      <c r="F121" s="29" t="inlineStr">
        <is>
          <t>Boss Wan (11)</t>
        </is>
      </c>
      <c r="G121" s="30" t="n">
        <v>50</v>
      </c>
      <c r="H121" s="31">
        <f>IF(G121="","",SUMIF(C$2:C121,"Masuk",G$2:G121)-SUMIF(C$2:C121,"Keluar",G$2:G121))</f>
        <v/>
      </c>
    </row>
    <row r="122">
      <c r="A122" s="22" t="inlineStr">
        <is>
          <t>M0121</t>
        </is>
      </c>
      <c r="B122" s="23" t="n">
        <v>45987</v>
      </c>
      <c r="C122" s="24" t="inlineStr">
        <is>
          <t>Masuk</t>
        </is>
      </c>
      <c r="D122" s="17" t="inlineStr">
        <is>
          <t>Yuran Kelab</t>
        </is>
      </c>
      <c r="E122" s="17" t="inlineStr">
        <is>
          <t>Chang</t>
        </is>
      </c>
      <c r="F122" s="17" t="inlineStr">
        <is>
          <t>Chang (11)</t>
        </is>
      </c>
      <c r="G122" s="15" t="n">
        <v>35</v>
      </c>
      <c r="H122" s="25">
        <f>IF(G122="","",SUMIF(C$2:C122,"Masuk",G$2:G122)-SUMIF(C$2:C122,"Keluar",G$2:G122))</f>
        <v/>
      </c>
    </row>
    <row r="123">
      <c r="A123" s="26" t="inlineStr">
        <is>
          <t>M0122</t>
        </is>
      </c>
      <c r="B123" s="27" t="n">
        <v>45987</v>
      </c>
      <c r="C123" s="28" t="inlineStr">
        <is>
          <t>Masuk</t>
        </is>
      </c>
      <c r="D123" s="29" t="inlineStr">
        <is>
          <t>Yuran Lawatan</t>
        </is>
      </c>
      <c r="E123" s="29" t="inlineStr">
        <is>
          <t>Chang</t>
        </is>
      </c>
      <c r="F123" s="29" t="inlineStr">
        <is>
          <t>Chang (11)</t>
        </is>
      </c>
      <c r="G123" s="30" t="n">
        <v>50</v>
      </c>
      <c r="H123" s="31">
        <f>IF(G123="","",SUMIF(C$2:C123,"Masuk",G$2:G123)-SUMIF(C$2:C123,"Keluar",G$2:G123))</f>
        <v/>
      </c>
    </row>
    <row r="124">
      <c r="A124" s="22" t="inlineStr">
        <is>
          <t>M0123</t>
        </is>
      </c>
      <c r="B124" s="23" t="n">
        <v>45989</v>
      </c>
      <c r="C124" s="24" t="inlineStr">
        <is>
          <t>Keluar</t>
        </is>
      </c>
      <c r="D124" s="17" t="inlineStr">
        <is>
          <t>Duit Pantri</t>
        </is>
      </c>
      <c r="E124" s="17" t="inlineStr"/>
      <c r="F124" s="17" t="inlineStr">
        <is>
          <t>Bayaran Duit Pantri - Pembelian Filter Air</t>
        </is>
      </c>
      <c r="G124" s="15" t="n">
        <v>20</v>
      </c>
      <c r="H124" s="25">
        <f>IF(G124="","",SUMIF(C$2:C124,"Masuk",G$2:G124)-SUMIF(C$2:C124,"Keluar",G$2:G124))</f>
        <v/>
      </c>
    </row>
    <row r="125">
      <c r="A125" s="26" t="inlineStr">
        <is>
          <t>M0124</t>
        </is>
      </c>
      <c r="B125" s="27" t="n">
        <v>45989</v>
      </c>
      <c r="C125" s="28" t="inlineStr">
        <is>
          <t>Keluar</t>
        </is>
      </c>
      <c r="D125" s="29" t="inlineStr">
        <is>
          <t>Duit Pantri</t>
        </is>
      </c>
      <c r="E125" s="29" t="inlineStr">
        <is>
          <t>Asnawi</t>
        </is>
      </c>
      <c r="F125" s="29" t="inlineStr">
        <is>
          <t>Bayaran Duit Pantri Lebihan - Asnawi</t>
        </is>
      </c>
      <c r="G125" s="30" t="n">
        <v>40</v>
      </c>
      <c r="H125" s="31">
        <f>IF(G125="","",SUMIF(C$2:C125,"Masuk",G$2:G125)-SUMIF(C$2:C125,"Keluar",G$2:G125))</f>
        <v/>
      </c>
    </row>
    <row r="126">
      <c r="A126" s="22" t="inlineStr">
        <is>
          <t>M0125</t>
        </is>
      </c>
      <c r="B126" s="23" t="n">
        <v>45992</v>
      </c>
      <c r="C126" s="24" t="inlineStr">
        <is>
          <t>Masuk</t>
        </is>
      </c>
      <c r="D126" s="17" t="inlineStr">
        <is>
          <t>Majlis</t>
        </is>
      </c>
      <c r="E126" s="17" t="inlineStr">
        <is>
          <t>Aiman</t>
        </is>
      </c>
      <c r="F126" s="17" t="inlineStr">
        <is>
          <t>Majlis KKGS - Aiman (Boling + Makan)</t>
        </is>
      </c>
      <c r="G126" s="15" t="n">
        <v>60</v>
      </c>
      <c r="H126" s="25">
        <f>IF(G126="","",SUMIF(C$2:C126,"Masuk",G$2:G126)-SUMIF(C$2:C126,"Keluar",G$2:G126))</f>
        <v/>
      </c>
    </row>
    <row r="127">
      <c r="A127" s="26" t="inlineStr">
        <is>
          <t>M0126</t>
        </is>
      </c>
      <c r="B127" s="27" t="n">
        <v>45992</v>
      </c>
      <c r="C127" s="28" t="inlineStr">
        <is>
          <t>Masuk</t>
        </is>
      </c>
      <c r="D127" s="29" t="inlineStr">
        <is>
          <t>Majlis</t>
        </is>
      </c>
      <c r="E127" s="29" t="inlineStr">
        <is>
          <t>Asnawi</t>
        </is>
      </c>
      <c r="F127" s="29" t="inlineStr">
        <is>
          <t>Majlis KKGS - Asnawi</t>
        </is>
      </c>
      <c r="G127" s="30" t="n">
        <v>20</v>
      </c>
      <c r="H127" s="31">
        <f>IF(G127="","",SUMIF(C$2:C127,"Masuk",G$2:G127)-SUMIF(C$2:C127,"Keluar",G$2:G127))</f>
        <v/>
      </c>
    </row>
    <row r="128">
      <c r="A128" s="22" t="inlineStr">
        <is>
          <t>M0127</t>
        </is>
      </c>
      <c r="B128" s="23" t="n">
        <v>45992</v>
      </c>
      <c r="C128" s="24" t="inlineStr">
        <is>
          <t>Masuk</t>
        </is>
      </c>
      <c r="D128" s="17" t="inlineStr">
        <is>
          <t>Majlis</t>
        </is>
      </c>
      <c r="E128" s="17" t="inlineStr">
        <is>
          <t>Ustaz</t>
        </is>
      </c>
      <c r="F128" s="17" t="inlineStr">
        <is>
          <t>Majlis KKGS - Ustaz</t>
        </is>
      </c>
      <c r="G128" s="15" t="n">
        <v>20</v>
      </c>
      <c r="H128" s="25">
        <f>IF(G128="","",SUMIF(C$2:C128,"Masuk",G$2:G128)-SUMIF(C$2:C128,"Keluar",G$2:G128))</f>
        <v/>
      </c>
    </row>
    <row r="129">
      <c r="A129" s="26" t="inlineStr">
        <is>
          <t>M0128</t>
        </is>
      </c>
      <c r="B129" s="27" t="n">
        <v>45992</v>
      </c>
      <c r="C129" s="28" t="inlineStr">
        <is>
          <t>Masuk</t>
        </is>
      </c>
      <c r="D129" s="29" t="inlineStr">
        <is>
          <t>Majlis</t>
        </is>
      </c>
      <c r="E129" s="29" t="inlineStr">
        <is>
          <t>Boss Wan</t>
        </is>
      </c>
      <c r="F129" s="29" t="inlineStr">
        <is>
          <t>Majlis KKGS - Boss Wan</t>
        </is>
      </c>
      <c r="G129" s="30" t="n">
        <v>20</v>
      </c>
      <c r="H129" s="31">
        <f>IF(G129="","",SUMIF(C$2:C129,"Masuk",G$2:G129)-SUMIF(C$2:C129,"Keluar",G$2:G129))</f>
        <v/>
      </c>
    </row>
    <row r="130">
      <c r="A130" s="22" t="inlineStr">
        <is>
          <t>M0129</t>
        </is>
      </c>
      <c r="B130" s="23" t="n">
        <v>45992</v>
      </c>
      <c r="C130" s="24" t="inlineStr">
        <is>
          <t>Masuk</t>
        </is>
      </c>
      <c r="D130" s="17" t="inlineStr">
        <is>
          <t>Majlis</t>
        </is>
      </c>
      <c r="E130" s="17" t="inlineStr">
        <is>
          <t>Chang</t>
        </is>
      </c>
      <c r="F130" s="17" t="inlineStr">
        <is>
          <t>Majlis KKGS - Chang</t>
        </is>
      </c>
      <c r="G130" s="15" t="n">
        <v>20</v>
      </c>
      <c r="H130" s="25">
        <f>IF(G130="","",SUMIF(C$2:C130,"Masuk",G$2:G130)-SUMIF(C$2:C130,"Keluar",G$2:G130))</f>
        <v/>
      </c>
    </row>
    <row r="131">
      <c r="A131" s="26" t="inlineStr">
        <is>
          <t>M0130</t>
        </is>
      </c>
      <c r="B131" s="27" t="n">
        <v>45992</v>
      </c>
      <c r="C131" s="28" t="inlineStr">
        <is>
          <t>Masuk</t>
        </is>
      </c>
      <c r="D131" s="29" t="inlineStr">
        <is>
          <t>Majlis</t>
        </is>
      </c>
      <c r="E131" s="29" t="inlineStr">
        <is>
          <t>Hadi</t>
        </is>
      </c>
      <c r="F131" s="29" t="inlineStr">
        <is>
          <t>Majlis KKGS - Hadi</t>
        </is>
      </c>
      <c r="G131" s="30" t="n">
        <v>20</v>
      </c>
      <c r="H131" s="31">
        <f>IF(G131="","",SUMIF(C$2:C131,"Masuk",G$2:G131)-SUMIF(C$2:C131,"Keluar",G$2:G131))</f>
        <v/>
      </c>
    </row>
    <row r="132">
      <c r="A132" s="22" t="inlineStr">
        <is>
          <t>M0131</t>
        </is>
      </c>
      <c r="B132" s="23" t="n">
        <v>45992</v>
      </c>
      <c r="C132" s="24" t="inlineStr">
        <is>
          <t>Masuk</t>
        </is>
      </c>
      <c r="D132" s="17" t="inlineStr">
        <is>
          <t>Majlis</t>
        </is>
      </c>
      <c r="E132" s="17" t="inlineStr">
        <is>
          <t>Boss Khairil</t>
        </is>
      </c>
      <c r="F132" s="17" t="inlineStr">
        <is>
          <t>Majlis KKGS - Boss Khairil</t>
        </is>
      </c>
      <c r="G132" s="15" t="n">
        <v>20</v>
      </c>
      <c r="H132" s="25">
        <f>IF(G132="","",SUMIF(C$2:C132,"Masuk",G$2:G132)-SUMIF(C$2:C132,"Keluar",G$2:G132))</f>
        <v/>
      </c>
    </row>
    <row r="133">
      <c r="A133" s="26" t="inlineStr">
        <is>
          <t>M0132</t>
        </is>
      </c>
      <c r="B133" s="27" t="n">
        <v>45993</v>
      </c>
      <c r="C133" s="28" t="inlineStr">
        <is>
          <t>Masuk</t>
        </is>
      </c>
      <c r="D133" s="29" t="inlineStr">
        <is>
          <t>Majlis</t>
        </is>
      </c>
      <c r="E133" s="29" t="inlineStr">
        <is>
          <t>Hasnol</t>
        </is>
      </c>
      <c r="F133" s="29" t="inlineStr">
        <is>
          <t>Majlis KKGS - Hasnol</t>
        </is>
      </c>
      <c r="G133" s="30" t="n">
        <v>20</v>
      </c>
      <c r="H133" s="31">
        <f>IF(G133="","",SUMIF(C$2:C133,"Masuk",G$2:G133)-SUMIF(C$2:C133,"Keluar",G$2:G133))</f>
        <v/>
      </c>
    </row>
    <row r="134">
      <c r="A134" s="22" t="inlineStr">
        <is>
          <t>M0133</t>
        </is>
      </c>
      <c r="B134" s="23" t="n">
        <v>45993</v>
      </c>
      <c r="C134" s="24" t="inlineStr">
        <is>
          <t>Keluar</t>
        </is>
      </c>
      <c r="D134" s="17" t="inlineStr">
        <is>
          <t>Majlis &amp; Hadiah</t>
        </is>
      </c>
      <c r="E134" s="17" t="inlineStr">
        <is>
          <t>Asnawi</t>
        </is>
      </c>
      <c r="F134" s="17" t="inlineStr">
        <is>
          <t>Hamper Boling - Asnawi</t>
        </is>
      </c>
      <c r="G134" s="15" t="n">
        <v>100</v>
      </c>
      <c r="H134" s="25">
        <f>IF(G134="","",SUMIF(C$2:C134,"Masuk",G$2:G134)-SUMIF(C$2:C134,"Keluar",G$2:G134))</f>
        <v/>
      </c>
    </row>
    <row r="135">
      <c r="A135" s="26" t="inlineStr">
        <is>
          <t>M0134</t>
        </is>
      </c>
      <c r="B135" s="27" t="n">
        <v>45994</v>
      </c>
      <c r="C135" s="28" t="inlineStr">
        <is>
          <t>Keluar</t>
        </is>
      </c>
      <c r="D135" s="29" t="inlineStr">
        <is>
          <t>Majlis &amp; Hadiah</t>
        </is>
      </c>
      <c r="E135" s="29" t="inlineStr"/>
      <c r="F135" s="29" t="inlineStr">
        <is>
          <t>Bayaran Boling + Makan (Majlis KKGS)</t>
        </is>
      </c>
      <c r="G135" s="30" t="n">
        <v>900</v>
      </c>
      <c r="H135" s="31">
        <f>IF(G135="","",SUMIF(C$2:C135,"Masuk",G$2:G135)-SUMIF(C$2:C135,"Keluar",G$2:G135))</f>
        <v/>
      </c>
    </row>
    <row r="136">
      <c r="A136" s="22" t="inlineStr">
        <is>
          <t>M0135</t>
        </is>
      </c>
      <c r="B136" s="23" t="n">
        <v>45994</v>
      </c>
      <c r="C136" s="24" t="inlineStr">
        <is>
          <t>Masuk</t>
        </is>
      </c>
      <c r="D136" s="17" t="inlineStr">
        <is>
          <t>Majlis</t>
        </is>
      </c>
      <c r="E136" s="17" t="inlineStr">
        <is>
          <t>Joe</t>
        </is>
      </c>
      <c r="F136" s="17" t="inlineStr">
        <is>
          <t>Majlis KKGS - Joe</t>
        </is>
      </c>
      <c r="G136" s="15" t="n">
        <v>20</v>
      </c>
      <c r="H136" s="25">
        <f>IF(G136="","",SUMIF(C$2:C136,"Masuk",G$2:G136)-SUMIF(C$2:C136,"Keluar",G$2:G136))</f>
        <v/>
      </c>
    </row>
    <row r="137">
      <c r="A137" s="26" t="inlineStr">
        <is>
          <t>M0136</t>
        </is>
      </c>
      <c r="B137" s="27" t="n">
        <v>45994</v>
      </c>
      <c r="C137" s="28" t="inlineStr">
        <is>
          <t>Masuk</t>
        </is>
      </c>
      <c r="D137" s="29" t="inlineStr">
        <is>
          <t>Majlis</t>
        </is>
      </c>
      <c r="E137" s="29" t="inlineStr">
        <is>
          <t>Wafi</t>
        </is>
      </c>
      <c r="F137" s="29" t="inlineStr">
        <is>
          <t>Majlis KKGS - Wafi</t>
        </is>
      </c>
      <c r="G137" s="30" t="n">
        <v>20</v>
      </c>
      <c r="H137" s="31">
        <f>IF(G137="","",SUMIF(C$2:C137,"Masuk",G$2:G137)-SUMIF(C$2:C137,"Keluar",G$2:G137))</f>
        <v/>
      </c>
    </row>
    <row r="138">
      <c r="A138" s="22" t="inlineStr">
        <is>
          <t>M0137</t>
        </is>
      </c>
      <c r="B138" s="23" t="n">
        <v>45994</v>
      </c>
      <c r="C138" s="24" t="inlineStr">
        <is>
          <t>Masuk</t>
        </is>
      </c>
      <c r="D138" s="17" t="inlineStr">
        <is>
          <t>Majlis</t>
        </is>
      </c>
      <c r="E138" s="17" t="inlineStr">
        <is>
          <t>Amir</t>
        </is>
      </c>
      <c r="F138" s="17" t="inlineStr">
        <is>
          <t>Majlis KKGS - Amir</t>
        </is>
      </c>
      <c r="G138" s="15" t="n">
        <v>20</v>
      </c>
      <c r="H138" s="25">
        <f>IF(G138="","",SUMIF(C$2:C138,"Masuk",G$2:G138)-SUMIF(C$2:C138,"Keluar",G$2:G138))</f>
        <v/>
      </c>
    </row>
    <row r="139">
      <c r="A139" s="26" t="inlineStr">
        <is>
          <t>M0138</t>
        </is>
      </c>
      <c r="B139" s="27" t="n">
        <v>45994</v>
      </c>
      <c r="C139" s="28" t="inlineStr">
        <is>
          <t>Masuk</t>
        </is>
      </c>
      <c r="D139" s="29" t="inlineStr">
        <is>
          <t>Majlis</t>
        </is>
      </c>
      <c r="E139" s="29" t="inlineStr">
        <is>
          <t>Khairiri</t>
        </is>
      </c>
      <c r="F139" s="29" t="inlineStr">
        <is>
          <t>Majlis KKGS - Khairiri</t>
        </is>
      </c>
      <c r="G139" s="30" t="n">
        <v>20</v>
      </c>
      <c r="H139" s="31">
        <f>IF(G139="","",SUMIF(C$2:C139,"Masuk",G$2:G139)-SUMIF(C$2:C139,"Keluar",G$2:G139))</f>
        <v/>
      </c>
    </row>
    <row r="140">
      <c r="A140" s="22" t="inlineStr">
        <is>
          <t>M0139</t>
        </is>
      </c>
      <c r="B140" s="23" t="n">
        <v>45994</v>
      </c>
      <c r="C140" s="24" t="inlineStr">
        <is>
          <t>Masuk</t>
        </is>
      </c>
      <c r="D140" s="17" t="inlineStr">
        <is>
          <t>Majlis</t>
        </is>
      </c>
      <c r="E140" s="17" t="inlineStr">
        <is>
          <t>Kuchai</t>
        </is>
      </c>
      <c r="F140" s="17" t="inlineStr">
        <is>
          <t>Majlis KKGS - Kuchai (Lamb Chop)</t>
        </is>
      </c>
      <c r="G140" s="15" t="n">
        <v>30</v>
      </c>
      <c r="H140" s="25">
        <f>IF(G140="","",SUMIF(C$2:C140,"Masuk",G$2:G140)-SUMIF(C$2:C140,"Keluar",G$2:G140))</f>
        <v/>
      </c>
    </row>
    <row r="141">
      <c r="A141" s="26" t="inlineStr">
        <is>
          <t>M0140</t>
        </is>
      </c>
      <c r="B141" s="27" t="n">
        <v>45994</v>
      </c>
      <c r="C141" s="28" t="inlineStr">
        <is>
          <t>Masuk</t>
        </is>
      </c>
      <c r="D141" s="29" t="inlineStr">
        <is>
          <t>Majlis</t>
        </is>
      </c>
      <c r="E141" s="29" t="inlineStr">
        <is>
          <t>Hasnol</t>
        </is>
      </c>
      <c r="F141" s="29" t="inlineStr">
        <is>
          <t>Majlis KKGS - Hasnol (Lamb Chop)</t>
        </is>
      </c>
      <c r="G141" s="30" t="n">
        <v>10</v>
      </c>
      <c r="H141" s="31">
        <f>IF(G141="","",SUMIF(C$2:C141,"Masuk",G$2:G141)-SUMIF(C$2:C141,"Keluar",G$2:G141))</f>
        <v/>
      </c>
    </row>
    <row r="142">
      <c r="A142" s="22" t="inlineStr">
        <is>
          <t>M0141</t>
        </is>
      </c>
      <c r="B142" s="23" t="n">
        <v>45994</v>
      </c>
      <c r="C142" s="24" t="inlineStr">
        <is>
          <t>Masuk</t>
        </is>
      </c>
      <c r="D142" s="17" t="inlineStr">
        <is>
          <t>Yuran Kelab</t>
        </is>
      </c>
      <c r="E142" s="17" t="inlineStr">
        <is>
          <t>Joe</t>
        </is>
      </c>
      <c r="F142" s="17" t="inlineStr">
        <is>
          <t>Joe (10, 11)</t>
        </is>
      </c>
      <c r="G142" s="15" t="n">
        <v>70</v>
      </c>
      <c r="H142" s="25">
        <f>IF(G142="","",SUMIF(C$2:C142,"Masuk",G$2:G142)-SUMIF(C$2:C142,"Keluar",G$2:G142))</f>
        <v/>
      </c>
    </row>
    <row r="143">
      <c r="A143" s="26" t="inlineStr">
        <is>
          <t>M0142</t>
        </is>
      </c>
      <c r="B143" s="27" t="n">
        <v>45994</v>
      </c>
      <c r="C143" s="28" t="inlineStr">
        <is>
          <t>Masuk</t>
        </is>
      </c>
      <c r="D143" s="29" t="inlineStr">
        <is>
          <t>Yuran Lawatan</t>
        </is>
      </c>
      <c r="E143" s="29" t="inlineStr">
        <is>
          <t>Joe</t>
        </is>
      </c>
      <c r="F143" s="29" t="inlineStr">
        <is>
          <t>Joe (10, 11)</t>
        </is>
      </c>
      <c r="G143" s="30" t="n">
        <v>100</v>
      </c>
      <c r="H143" s="31">
        <f>IF(G143="","",SUMIF(C$2:C143,"Masuk",G$2:G143)-SUMIF(C$2:C143,"Keluar",G$2:G143))</f>
        <v/>
      </c>
    </row>
    <row r="144">
      <c r="A144" s="22" t="inlineStr">
        <is>
          <t>M0143</t>
        </is>
      </c>
      <c r="B144" s="23" t="n">
        <v>45995</v>
      </c>
      <c r="C144" s="24" t="inlineStr">
        <is>
          <t>Masuk</t>
        </is>
      </c>
      <c r="D144" s="17" t="inlineStr">
        <is>
          <t>Majlis</t>
        </is>
      </c>
      <c r="E144" s="17" t="inlineStr">
        <is>
          <t>Asnawi</t>
        </is>
      </c>
      <c r="F144" s="17" t="inlineStr">
        <is>
          <t>Majlis KKGS - Asnawi</t>
        </is>
      </c>
      <c r="G144" s="15" t="n">
        <v>20</v>
      </c>
      <c r="H144" s="25">
        <f>IF(G144="","",SUMIF(C$2:C144,"Masuk",G$2:G144)-SUMIF(C$2:C144,"Keluar",G$2:G144))</f>
        <v/>
      </c>
    </row>
    <row r="145">
      <c r="A145" s="26" t="inlineStr">
        <is>
          <t>M0144</t>
        </is>
      </c>
      <c r="B145" s="27" t="n">
        <v>46003</v>
      </c>
      <c r="C145" s="28" t="inlineStr">
        <is>
          <t>Masuk</t>
        </is>
      </c>
      <c r="D145" s="29" t="inlineStr">
        <is>
          <t>Majlis</t>
        </is>
      </c>
      <c r="E145" s="29" t="inlineStr">
        <is>
          <t>Bang Mie</t>
        </is>
      </c>
      <c r="F145" s="29" t="inlineStr">
        <is>
          <t>Majlis KKGS - Bang Mie (Lamb Chop)</t>
        </is>
      </c>
      <c r="G145" s="30" t="n">
        <v>10</v>
      </c>
      <c r="H145" s="31">
        <f>IF(G145="","",SUMIF(C$2:C145,"Masuk",G$2:G145)-SUMIF(C$2:C145,"Keluar",G$2:G145))</f>
        <v/>
      </c>
    </row>
    <row r="146">
      <c r="A146" s="22" t="inlineStr">
        <is>
          <t>M0145</t>
        </is>
      </c>
      <c r="B146" s="23" t="n">
        <v>46003</v>
      </c>
      <c r="C146" s="24" t="inlineStr">
        <is>
          <t>Masuk</t>
        </is>
      </c>
      <c r="D146" s="17" t="inlineStr">
        <is>
          <t>Majlis</t>
        </is>
      </c>
      <c r="E146" s="17" t="inlineStr">
        <is>
          <t>Kuchai</t>
        </is>
      </c>
      <c r="F146" s="17" t="inlineStr">
        <is>
          <t>Majlis KKGS - Kuchai (Lamb Chop)</t>
        </is>
      </c>
      <c r="G146" s="15" t="n">
        <v>10</v>
      </c>
      <c r="H146" s="25">
        <f>IF(G146="","",SUMIF(C$2:C146,"Masuk",G$2:G146)-SUMIF(C$2:C146,"Keluar",G$2:G146))</f>
        <v/>
      </c>
    </row>
    <row r="147">
      <c r="A147" s="26" t="inlineStr">
        <is>
          <t>M0146</t>
        </is>
      </c>
      <c r="B147" s="27" t="n">
        <v>46003</v>
      </c>
      <c r="C147" s="28" t="inlineStr">
        <is>
          <t>Masuk</t>
        </is>
      </c>
      <c r="D147" s="29" t="inlineStr">
        <is>
          <t>Majlis</t>
        </is>
      </c>
      <c r="E147" s="29" t="inlineStr">
        <is>
          <t>Chang</t>
        </is>
      </c>
      <c r="F147" s="29" t="inlineStr">
        <is>
          <t>Majlis KKGS - Chang (Lamb Chop)</t>
        </is>
      </c>
      <c r="G147" s="30" t="n">
        <v>10</v>
      </c>
      <c r="H147" s="31">
        <f>IF(G147="","",SUMIF(C$2:C147,"Masuk",G$2:G147)-SUMIF(C$2:C147,"Keluar",G$2:G147))</f>
        <v/>
      </c>
    </row>
    <row r="148">
      <c r="A148" s="22" t="inlineStr">
        <is>
          <t>M0147</t>
        </is>
      </c>
      <c r="B148" s="23" t="n">
        <v>46003</v>
      </c>
      <c r="C148" s="24" t="inlineStr">
        <is>
          <t>Masuk</t>
        </is>
      </c>
      <c r="D148" s="17" t="inlineStr">
        <is>
          <t>Sumbangan</t>
        </is>
      </c>
      <c r="E148" s="17" t="inlineStr">
        <is>
          <t>Kuchai</t>
        </is>
      </c>
      <c r="F148" s="17" t="inlineStr">
        <is>
          <t>Sumbangan Ustaz - Kuchai</t>
        </is>
      </c>
      <c r="G148" s="15" t="n">
        <v>60</v>
      </c>
      <c r="H148" s="25">
        <f>IF(G148="","",SUMIF(C$2:C148,"Masuk",G$2:G148)-SUMIF(C$2:C148,"Keluar",G$2:G148))</f>
        <v/>
      </c>
    </row>
    <row r="149">
      <c r="A149" s="26" t="inlineStr">
        <is>
          <t>M0148</t>
        </is>
      </c>
      <c r="B149" s="27" t="n">
        <v>46003</v>
      </c>
      <c r="C149" s="28" t="inlineStr">
        <is>
          <t>Keluar</t>
        </is>
      </c>
      <c r="D149" s="29" t="inlineStr">
        <is>
          <t>Majlis &amp; Hadiah</t>
        </is>
      </c>
      <c r="E149" s="29" t="inlineStr"/>
      <c r="F149" s="29" t="inlineStr">
        <is>
          <t>Sumbangan Ustaz (Ke Asnawi daripada Kuchai)</t>
        </is>
      </c>
      <c r="G149" s="30" t="n">
        <v>70</v>
      </c>
      <c r="H149" s="31">
        <f>IF(G149="","",SUMIF(C$2:C149,"Masuk",G$2:G149)-SUMIF(C$2:C149,"Keluar",G$2:G149))</f>
        <v/>
      </c>
    </row>
    <row r="150">
      <c r="A150" s="22" t="inlineStr">
        <is>
          <t>M0149</t>
        </is>
      </c>
      <c r="B150" s="23" t="n">
        <v>46003</v>
      </c>
      <c r="C150" s="24" t="inlineStr">
        <is>
          <t>Masuk</t>
        </is>
      </c>
      <c r="D150" s="17" t="inlineStr">
        <is>
          <t>Majlis</t>
        </is>
      </c>
      <c r="E150" s="17" t="inlineStr">
        <is>
          <t>Hadi</t>
        </is>
      </c>
      <c r="F150" s="17" t="inlineStr">
        <is>
          <t>Majlis KKGS - Hadi (Lamb Chop)</t>
        </is>
      </c>
      <c r="G150" s="15" t="n">
        <v>10</v>
      </c>
      <c r="H150" s="25">
        <f>IF(G150="","",SUMIF(C$2:C150,"Masuk",G$2:G150)-SUMIF(C$2:C150,"Keluar",G$2:G150))</f>
        <v/>
      </c>
    </row>
    <row r="151">
      <c r="A151" s="26" t="inlineStr">
        <is>
          <t>M0150</t>
        </is>
      </c>
      <c r="B151" s="27" t="n">
        <v>46003</v>
      </c>
      <c r="C151" s="28" t="inlineStr">
        <is>
          <t>Keluar</t>
        </is>
      </c>
      <c r="D151" s="29" t="inlineStr">
        <is>
          <t>Majlis &amp; Hadiah</t>
        </is>
      </c>
      <c r="E151" s="29" t="inlineStr"/>
      <c r="F151" s="29" t="inlineStr">
        <is>
          <t>Sumbangan Ustaz (Ke Asnawi daripada KKGS)</t>
        </is>
      </c>
      <c r="G151" s="30" t="n">
        <v>200</v>
      </c>
      <c r="H151" s="31">
        <f>IF(G151="","",SUMIF(C$2:C151,"Masuk",G$2:G151)-SUMIF(C$2:C151,"Keluar",G$2:G151))</f>
        <v/>
      </c>
    </row>
    <row r="152">
      <c r="A152" s="22" t="inlineStr">
        <is>
          <t>M0151</t>
        </is>
      </c>
      <c r="B152" s="23" t="n">
        <v>46009</v>
      </c>
      <c r="C152" s="24" t="inlineStr">
        <is>
          <t>Masuk</t>
        </is>
      </c>
      <c r="D152" s="17" t="inlineStr">
        <is>
          <t>Yuran Kelab</t>
        </is>
      </c>
      <c r="E152" s="17" t="inlineStr">
        <is>
          <t>Asnawi</t>
        </is>
      </c>
      <c r="F152" s="17" t="inlineStr">
        <is>
          <t>Asnawi (12)</t>
        </is>
      </c>
      <c r="G152" s="15" t="n">
        <v>35</v>
      </c>
      <c r="H152" s="25">
        <f>IF(G152="","",SUMIF(C$2:C152,"Masuk",G$2:G152)-SUMIF(C$2:C152,"Keluar",G$2:G152))</f>
        <v/>
      </c>
    </row>
    <row r="153">
      <c r="A153" s="26" t="inlineStr">
        <is>
          <t>M0152</t>
        </is>
      </c>
      <c r="B153" s="27" t="n">
        <v>46009</v>
      </c>
      <c r="C153" s="28" t="inlineStr">
        <is>
          <t>Masuk</t>
        </is>
      </c>
      <c r="D153" s="29" t="inlineStr">
        <is>
          <t>Yuran Lawatan</t>
        </is>
      </c>
      <c r="E153" s="29" t="inlineStr">
        <is>
          <t>Asnawi</t>
        </is>
      </c>
      <c r="F153" s="29" t="inlineStr">
        <is>
          <t>Asnawi (12)</t>
        </is>
      </c>
      <c r="G153" s="30" t="n">
        <v>50</v>
      </c>
      <c r="H153" s="31">
        <f>IF(G153="","",SUMIF(C$2:C153,"Masuk",G$2:G153)-SUMIF(C$2:C153,"Keluar",G$2:G153))</f>
        <v/>
      </c>
    </row>
    <row r="154">
      <c r="A154" s="22" t="inlineStr">
        <is>
          <t>M0153</t>
        </is>
      </c>
      <c r="B154" s="23" t="n">
        <v>46009</v>
      </c>
      <c r="C154" s="24" t="inlineStr">
        <is>
          <t>Masuk</t>
        </is>
      </c>
      <c r="D154" s="17" t="inlineStr">
        <is>
          <t>Yuran Kelab</t>
        </is>
      </c>
      <c r="E154" s="17" t="inlineStr">
        <is>
          <t>Boss Wan</t>
        </is>
      </c>
      <c r="F154" s="17" t="inlineStr">
        <is>
          <t>Boss Wan (12)</t>
        </is>
      </c>
      <c r="G154" s="15" t="n">
        <v>35</v>
      </c>
      <c r="H154" s="25">
        <f>IF(G154="","",SUMIF(C$2:C154,"Masuk",G$2:G154)-SUMIF(C$2:C154,"Keluar",G$2:G154))</f>
        <v/>
      </c>
    </row>
    <row r="155">
      <c r="A155" s="26" t="inlineStr">
        <is>
          <t>M0154</t>
        </is>
      </c>
      <c r="B155" s="27" t="n">
        <v>46009</v>
      </c>
      <c r="C155" s="28" t="inlineStr">
        <is>
          <t>Masuk</t>
        </is>
      </c>
      <c r="D155" s="29" t="inlineStr">
        <is>
          <t>Yuran Lawatan</t>
        </is>
      </c>
      <c r="E155" s="29" t="inlineStr">
        <is>
          <t>Boss Wan</t>
        </is>
      </c>
      <c r="F155" s="29" t="inlineStr">
        <is>
          <t>Boss Wan (12)</t>
        </is>
      </c>
      <c r="G155" s="30" t="n">
        <v>50</v>
      </c>
      <c r="H155" s="31">
        <f>IF(G155="","",SUMIF(C$2:C155,"Masuk",G$2:G155)-SUMIF(C$2:C155,"Keluar",G$2:G155))</f>
        <v/>
      </c>
    </row>
    <row r="156">
      <c r="A156" s="22" t="inlineStr">
        <is>
          <t>M0155</t>
        </is>
      </c>
      <c r="B156" s="23" t="n">
        <v>46010</v>
      </c>
      <c r="C156" s="24" t="inlineStr">
        <is>
          <t>Masuk</t>
        </is>
      </c>
      <c r="D156" s="17" t="inlineStr">
        <is>
          <t>Yuran Kelab</t>
        </is>
      </c>
      <c r="E156" s="17" t="inlineStr">
        <is>
          <t>Chang</t>
        </is>
      </c>
      <c r="F156" s="17" t="inlineStr">
        <is>
          <t>Chang (12)</t>
        </is>
      </c>
      <c r="G156" s="15" t="n">
        <v>35</v>
      </c>
      <c r="H156" s="25">
        <f>IF(G156="","",SUMIF(C$2:C156,"Masuk",G$2:G156)-SUMIF(C$2:C156,"Keluar",G$2:G156))</f>
        <v/>
      </c>
    </row>
    <row r="157">
      <c r="A157" s="26" t="inlineStr">
        <is>
          <t>M0156</t>
        </is>
      </c>
      <c r="B157" s="27" t="n">
        <v>46010</v>
      </c>
      <c r="C157" s="28" t="inlineStr">
        <is>
          <t>Masuk</t>
        </is>
      </c>
      <c r="D157" s="29" t="inlineStr">
        <is>
          <t>Yuran Lawatan</t>
        </is>
      </c>
      <c r="E157" s="29" t="inlineStr">
        <is>
          <t>Chang</t>
        </is>
      </c>
      <c r="F157" s="29" t="inlineStr">
        <is>
          <t>Chang (12)</t>
        </is>
      </c>
      <c r="G157" s="30" t="n">
        <v>50</v>
      </c>
      <c r="H157" s="31">
        <f>IF(G157="","",SUMIF(C$2:C157,"Masuk",G$2:G157)-SUMIF(C$2:C157,"Keluar",G$2:G157))</f>
        <v/>
      </c>
    </row>
    <row r="158">
      <c r="A158" s="22" t="inlineStr">
        <is>
          <t>M0157</t>
        </is>
      </c>
      <c r="B158" s="23" t="n">
        <v>46011</v>
      </c>
      <c r="C158" s="24" t="inlineStr">
        <is>
          <t>Masuk</t>
        </is>
      </c>
      <c r="D158" s="17" t="inlineStr">
        <is>
          <t>Yuran Kelab</t>
        </is>
      </c>
      <c r="E158" s="17" t="inlineStr">
        <is>
          <t>Khairiri</t>
        </is>
      </c>
      <c r="F158" s="17" t="inlineStr">
        <is>
          <t>Khairiri (12)</t>
        </is>
      </c>
      <c r="G158" s="15" t="n">
        <v>35</v>
      </c>
      <c r="H158" s="25">
        <f>IF(G158="","",SUMIF(C$2:C158,"Masuk",G$2:G158)-SUMIF(C$2:C158,"Keluar",G$2:G158))</f>
        <v/>
      </c>
    </row>
    <row r="159">
      <c r="A159" s="26" t="inlineStr">
        <is>
          <t>M0158</t>
        </is>
      </c>
      <c r="B159" s="27" t="n">
        <v>46011</v>
      </c>
      <c r="C159" s="28" t="inlineStr">
        <is>
          <t>Masuk</t>
        </is>
      </c>
      <c r="D159" s="29" t="inlineStr">
        <is>
          <t>Yuran Lawatan</t>
        </is>
      </c>
      <c r="E159" s="29" t="inlineStr">
        <is>
          <t>Khairiri</t>
        </is>
      </c>
      <c r="F159" s="29" t="inlineStr">
        <is>
          <t>Khairiri (12)</t>
        </is>
      </c>
      <c r="G159" s="30" t="n">
        <v>50</v>
      </c>
      <c r="H159" s="31">
        <f>IF(G159="","",SUMIF(C$2:C159,"Masuk",G$2:G159)-SUMIF(C$2:C159,"Keluar",G$2:G159))</f>
        <v/>
      </c>
    </row>
    <row r="160">
      <c r="A160" s="22" t="inlineStr">
        <is>
          <t>M0159</t>
        </is>
      </c>
      <c r="B160" s="23" t="n">
        <v>46012</v>
      </c>
      <c r="C160" s="24" t="inlineStr">
        <is>
          <t>Masuk</t>
        </is>
      </c>
      <c r="D160" s="17" t="inlineStr">
        <is>
          <t>Yuran Lawatan</t>
        </is>
      </c>
      <c r="E160" s="17" t="inlineStr">
        <is>
          <t>Ustaz</t>
        </is>
      </c>
      <c r="F160" s="17" t="inlineStr">
        <is>
          <t>Ustaz (12)</t>
        </is>
      </c>
      <c r="G160" s="15" t="n">
        <v>50</v>
      </c>
      <c r="H160" s="25">
        <f>IF(G160="","",SUMIF(C$2:C160,"Masuk",G$2:G160)-SUMIF(C$2:C160,"Keluar",G$2:G160))</f>
        <v/>
      </c>
    </row>
    <row r="161">
      <c r="A161" s="26" t="inlineStr">
        <is>
          <t>M0160</t>
        </is>
      </c>
      <c r="B161" s="27" t="n">
        <v>46027</v>
      </c>
      <c r="C161" s="28" t="inlineStr">
        <is>
          <t>Masuk</t>
        </is>
      </c>
      <c r="D161" s="29" t="inlineStr">
        <is>
          <t>Majlis</t>
        </is>
      </c>
      <c r="E161" s="29" t="inlineStr">
        <is>
          <t>Khairiri</t>
        </is>
      </c>
      <c r="F161" s="29" t="inlineStr">
        <is>
          <t>Majlis KKGS - Khairiri (Lamb Chop)</t>
        </is>
      </c>
      <c r="G161" s="30" t="n">
        <v>10</v>
      </c>
      <c r="H161" s="31">
        <f>IF(G161="","",SUMIF(C$2:C161,"Masuk",G$2:G161)-SUMIF(C$2:C161,"Keluar",G$2:G161))</f>
        <v/>
      </c>
    </row>
    <row r="162">
      <c r="A162" s="22" t="inlineStr">
        <is>
          <t>M0161</t>
        </is>
      </c>
      <c r="B162" s="23" t="n">
        <v>46027</v>
      </c>
      <c r="C162" s="24" t="inlineStr">
        <is>
          <t>Masuk</t>
        </is>
      </c>
      <c r="D162" s="17" t="inlineStr">
        <is>
          <t>Yuran Kelab</t>
        </is>
      </c>
      <c r="E162" s="17" t="inlineStr">
        <is>
          <t>Amir</t>
        </is>
      </c>
      <c r="F162" s="17" t="inlineStr">
        <is>
          <t>Amir (9, 10, 11, 12)</t>
        </is>
      </c>
      <c r="G162" s="15" t="n">
        <v>140</v>
      </c>
      <c r="H162" s="25">
        <f>IF(G162="","",SUMIF(C$2:C162,"Masuk",G$2:G162)-SUMIF(C$2:C162,"Keluar",G$2:G162))</f>
        <v/>
      </c>
    </row>
    <row r="163">
      <c r="A163" s="26" t="inlineStr">
        <is>
          <t>M0162</t>
        </is>
      </c>
      <c r="B163" s="27" t="n">
        <v>46027</v>
      </c>
      <c r="C163" s="28" t="inlineStr">
        <is>
          <t>Masuk</t>
        </is>
      </c>
      <c r="D163" s="29" t="inlineStr">
        <is>
          <t>Yuran Lawatan</t>
        </is>
      </c>
      <c r="E163" s="29" t="inlineStr">
        <is>
          <t>Amir</t>
        </is>
      </c>
      <c r="F163" s="29" t="inlineStr">
        <is>
          <t>Amir (9, 10, 11, 12)</t>
        </is>
      </c>
      <c r="G163" s="30" t="n">
        <v>200</v>
      </c>
      <c r="H163" s="31">
        <f>IF(G163="","",SUMIF(C$2:C163,"Masuk",G$2:G163)-SUMIF(C$2:C163,"Keluar",G$2:G163))</f>
        <v/>
      </c>
    </row>
    <row r="164">
      <c r="A164" s="22" t="inlineStr">
        <is>
          <t>M0163</t>
        </is>
      </c>
      <c r="B164" s="23" t="n">
        <v>46028</v>
      </c>
      <c r="C164" s="24" t="inlineStr">
        <is>
          <t>Masuk</t>
        </is>
      </c>
      <c r="D164" s="17" t="inlineStr">
        <is>
          <t>Yuran Kelab</t>
        </is>
      </c>
      <c r="E164" s="17" t="inlineStr">
        <is>
          <t>Aiman</t>
        </is>
      </c>
      <c r="F164" s="17" t="inlineStr">
        <is>
          <t>Aiman (12)</t>
        </is>
      </c>
      <c r="G164" s="15" t="n">
        <v>35</v>
      </c>
      <c r="H164" s="25">
        <f>IF(G164="","",SUMIF(C$2:C164,"Masuk",G$2:G164)-SUMIF(C$2:C164,"Keluar",G$2:G164))</f>
        <v/>
      </c>
    </row>
    <row r="165">
      <c r="A165" s="26" t="inlineStr">
        <is>
          <t>M0164</t>
        </is>
      </c>
      <c r="B165" s="27" t="n">
        <v>46028</v>
      </c>
      <c r="C165" s="28" t="inlineStr">
        <is>
          <t>Masuk</t>
        </is>
      </c>
      <c r="D165" s="29" t="inlineStr">
        <is>
          <t>Yuran Lawatan</t>
        </is>
      </c>
      <c r="E165" s="29" t="inlineStr">
        <is>
          <t>Aiman</t>
        </is>
      </c>
      <c r="F165" s="29" t="inlineStr">
        <is>
          <t>Aiman (12)</t>
        </is>
      </c>
      <c r="G165" s="30" t="n">
        <v>50</v>
      </c>
      <c r="H165" s="31">
        <f>IF(G165="","",SUMIF(C$2:C165,"Masuk",G$2:G165)-SUMIF(C$2:C165,"Keluar",G$2:G165))</f>
        <v/>
      </c>
    </row>
    <row r="166">
      <c r="A166" s="22" t="inlineStr">
        <is>
          <t>M0165</t>
        </is>
      </c>
      <c r="B166" s="23" t="n">
        <v>46034</v>
      </c>
      <c r="C166" s="24" t="inlineStr">
        <is>
          <t>Keluar</t>
        </is>
      </c>
      <c r="D166" s="17" t="inlineStr">
        <is>
          <t>Duit Pantri</t>
        </is>
      </c>
      <c r="E166" s="17" t="inlineStr">
        <is>
          <t>Asnawi</t>
        </is>
      </c>
      <c r="F166" s="17" t="inlineStr">
        <is>
          <t>Bayaran Duit Pantri - Asnawi</t>
        </is>
      </c>
      <c r="G166" s="15" t="n">
        <v>65</v>
      </c>
      <c r="H166" s="25">
        <f>IF(G166="","",SUMIF(C$2:C166,"Masuk",G$2:G166)-SUMIF(C$2:C166,"Keluar",G$2:G166))</f>
        <v/>
      </c>
    </row>
    <row r="167">
      <c r="A167" s="26" t="inlineStr">
        <is>
          <t>M0166</t>
        </is>
      </c>
      <c r="B167" s="27" t="n">
        <v>46044</v>
      </c>
      <c r="C167" s="28" t="inlineStr">
        <is>
          <t>Masuk</t>
        </is>
      </c>
      <c r="D167" s="29" t="inlineStr">
        <is>
          <t>Yuran Kelab</t>
        </is>
      </c>
      <c r="E167" s="29" t="inlineStr">
        <is>
          <t>Kuchai</t>
        </is>
      </c>
      <c r="F167" s="29" t="inlineStr">
        <is>
          <t>Kuchai (1)</t>
        </is>
      </c>
      <c r="G167" s="30" t="n">
        <v>35</v>
      </c>
      <c r="H167" s="31">
        <f>IF(G167="","",SUMIF(C$2:C167,"Masuk",G$2:G167)-SUMIF(C$2:C167,"Keluar",G$2:G167))</f>
        <v/>
      </c>
    </row>
    <row r="168">
      <c r="A168" s="22" t="inlineStr">
        <is>
          <t>M0167</t>
        </is>
      </c>
      <c r="B168" s="23" t="n">
        <v>46044</v>
      </c>
      <c r="C168" s="24" t="inlineStr">
        <is>
          <t>Masuk</t>
        </is>
      </c>
      <c r="D168" s="17" t="inlineStr">
        <is>
          <t>Yuran Lawatan</t>
        </is>
      </c>
      <c r="E168" s="17" t="inlineStr">
        <is>
          <t>Kuchai</t>
        </is>
      </c>
      <c r="F168" s="17" t="inlineStr">
        <is>
          <t>Kuchai (1)</t>
        </is>
      </c>
      <c r="G168" s="15" t="n">
        <v>50</v>
      </c>
      <c r="H168" s="25">
        <f>IF(G168="","",SUMIF(C$2:C168,"Masuk",G$2:G168)-SUMIF(C$2:C168,"Keluar",G$2:G168))</f>
        <v/>
      </c>
    </row>
    <row r="169">
      <c r="A169" s="26" t="inlineStr">
        <is>
          <t>M0168</t>
        </is>
      </c>
      <c r="B169" s="27" t="n">
        <v>46044</v>
      </c>
      <c r="C169" s="28" t="inlineStr">
        <is>
          <t>Masuk</t>
        </is>
      </c>
      <c r="D169" s="29" t="inlineStr">
        <is>
          <t>Yuran Kelab</t>
        </is>
      </c>
      <c r="E169" s="29" t="inlineStr">
        <is>
          <t>Amir</t>
        </is>
      </c>
      <c r="F169" s="29" t="inlineStr">
        <is>
          <t>Amir (1)</t>
        </is>
      </c>
      <c r="G169" s="30" t="n">
        <v>35</v>
      </c>
      <c r="H169" s="31">
        <f>IF(G169="","",SUMIF(C$2:C169,"Masuk",G$2:G169)-SUMIF(C$2:C169,"Keluar",G$2:G169))</f>
        <v/>
      </c>
    </row>
    <row r="170">
      <c r="A170" s="22" t="inlineStr">
        <is>
          <t>M0169</t>
        </is>
      </c>
      <c r="B170" s="23" t="n">
        <v>46044</v>
      </c>
      <c r="C170" s="24" t="inlineStr">
        <is>
          <t>Masuk</t>
        </is>
      </c>
      <c r="D170" s="17" t="inlineStr">
        <is>
          <t>Yuran Lawatan</t>
        </is>
      </c>
      <c r="E170" s="17" t="inlineStr">
        <is>
          <t>Amir</t>
        </is>
      </c>
      <c r="F170" s="17" t="inlineStr">
        <is>
          <t>Amir (1)</t>
        </is>
      </c>
      <c r="G170" s="15" t="n">
        <v>50</v>
      </c>
      <c r="H170" s="25">
        <f>IF(G170="","",SUMIF(C$2:C170,"Masuk",G$2:G170)-SUMIF(C$2:C170,"Keluar",G$2:G170))</f>
        <v/>
      </c>
    </row>
    <row r="171">
      <c r="A171" s="26" t="inlineStr">
        <is>
          <t>M0170</t>
        </is>
      </c>
      <c r="B171" s="27" t="n">
        <v>46044</v>
      </c>
      <c r="C171" s="28" t="inlineStr">
        <is>
          <t>Masuk</t>
        </is>
      </c>
      <c r="D171" s="29" t="inlineStr">
        <is>
          <t>Yuran Kelab</t>
        </is>
      </c>
      <c r="E171" s="29" t="inlineStr">
        <is>
          <t>Boss Wan</t>
        </is>
      </c>
      <c r="F171" s="29" t="inlineStr">
        <is>
          <t>Boss Wan (1, 2)</t>
        </is>
      </c>
      <c r="G171" s="30" t="n">
        <v>70</v>
      </c>
      <c r="H171" s="31">
        <f>IF(G171="","",SUMIF(C$2:C171,"Masuk",G$2:G171)-SUMIF(C$2:C171,"Keluar",G$2:G171))</f>
        <v/>
      </c>
    </row>
    <row r="172">
      <c r="A172" s="22" t="inlineStr">
        <is>
          <t>M0171</t>
        </is>
      </c>
      <c r="B172" s="23" t="n">
        <v>46044</v>
      </c>
      <c r="C172" s="24" t="inlineStr">
        <is>
          <t>Masuk</t>
        </is>
      </c>
      <c r="D172" s="17" t="inlineStr">
        <is>
          <t>Yuran Lawatan</t>
        </is>
      </c>
      <c r="E172" s="17" t="inlineStr">
        <is>
          <t>Boss Wan</t>
        </is>
      </c>
      <c r="F172" s="17" t="inlineStr">
        <is>
          <t>Boss Wan (1, 2)</t>
        </is>
      </c>
      <c r="G172" s="15" t="n">
        <v>100</v>
      </c>
      <c r="H172" s="25">
        <f>IF(G172="","",SUMIF(C$2:C172,"Masuk",G$2:G172)-SUMIF(C$2:C172,"Keluar",G$2:G172))</f>
        <v/>
      </c>
    </row>
    <row r="173">
      <c r="A173" s="26" t="inlineStr">
        <is>
          <t>M0172</t>
        </is>
      </c>
      <c r="B173" s="27" t="n">
        <v>46044</v>
      </c>
      <c r="C173" s="28" t="inlineStr">
        <is>
          <t>Masuk</t>
        </is>
      </c>
      <c r="D173" s="29" t="inlineStr">
        <is>
          <t>Yuran Kelab</t>
        </is>
      </c>
      <c r="E173" s="29" t="inlineStr">
        <is>
          <t>Chang</t>
        </is>
      </c>
      <c r="F173" s="29" t="inlineStr">
        <is>
          <t>Chang (1)</t>
        </is>
      </c>
      <c r="G173" s="30" t="n">
        <v>35</v>
      </c>
      <c r="H173" s="31">
        <f>IF(G173="","",SUMIF(C$2:C173,"Masuk",G$2:G173)-SUMIF(C$2:C173,"Keluar",G$2:G173))</f>
        <v/>
      </c>
    </row>
    <row r="174">
      <c r="A174" s="22" t="inlineStr">
        <is>
          <t>M0173</t>
        </is>
      </c>
      <c r="B174" s="23" t="n">
        <v>46044</v>
      </c>
      <c r="C174" s="24" t="inlineStr">
        <is>
          <t>Masuk</t>
        </is>
      </c>
      <c r="D174" s="17" t="inlineStr">
        <is>
          <t>Yuran Lawatan</t>
        </is>
      </c>
      <c r="E174" s="17" t="inlineStr">
        <is>
          <t>Chang</t>
        </is>
      </c>
      <c r="F174" s="17" t="inlineStr">
        <is>
          <t>Chang (1)</t>
        </is>
      </c>
      <c r="G174" s="15" t="n">
        <v>50</v>
      </c>
      <c r="H174" s="25">
        <f>IF(G174="","",SUMIF(C$2:C174,"Masuk",G$2:G174)-SUMIF(C$2:C174,"Keluar",G$2:G174))</f>
        <v/>
      </c>
    </row>
    <row r="175">
      <c r="A175" s="26" t="inlineStr">
        <is>
          <t>M0174</t>
        </is>
      </c>
      <c r="B175" s="27" t="n">
        <v>46044</v>
      </c>
      <c r="C175" s="28" t="inlineStr">
        <is>
          <t>Masuk</t>
        </is>
      </c>
      <c r="D175" s="29" t="inlineStr">
        <is>
          <t>Yuran Kelab</t>
        </is>
      </c>
      <c r="E175" s="29" t="inlineStr">
        <is>
          <t>Khairiri</t>
        </is>
      </c>
      <c r="F175" s="29" t="inlineStr">
        <is>
          <t>Khairiri (1)</t>
        </is>
      </c>
      <c r="G175" s="30" t="n">
        <v>35</v>
      </c>
      <c r="H175" s="31">
        <f>IF(G175="","",SUMIF(C$2:C175,"Masuk",G$2:G175)-SUMIF(C$2:C175,"Keluar",G$2:G175))</f>
        <v/>
      </c>
    </row>
    <row r="176">
      <c r="A176" s="22" t="inlineStr">
        <is>
          <t>M0175</t>
        </is>
      </c>
      <c r="B176" s="23" t="n">
        <v>46044</v>
      </c>
      <c r="C176" s="24" t="inlineStr">
        <is>
          <t>Masuk</t>
        </is>
      </c>
      <c r="D176" s="17" t="inlineStr">
        <is>
          <t>Yuran Lawatan</t>
        </is>
      </c>
      <c r="E176" s="17" t="inlineStr">
        <is>
          <t>Khairiri</t>
        </is>
      </c>
      <c r="F176" s="17" t="inlineStr">
        <is>
          <t>Khairiri (1)</t>
        </is>
      </c>
      <c r="G176" s="15" t="n">
        <v>50</v>
      </c>
      <c r="H176" s="25">
        <f>IF(G176="","",SUMIF(C$2:C176,"Masuk",G$2:G176)-SUMIF(C$2:C176,"Keluar",G$2:G176))</f>
        <v/>
      </c>
    </row>
    <row r="177">
      <c r="A177" s="26" t="inlineStr">
        <is>
          <t>M0176</t>
        </is>
      </c>
      <c r="B177" s="27" t="n">
        <v>46044</v>
      </c>
      <c r="C177" s="28" t="inlineStr">
        <is>
          <t>Masuk</t>
        </is>
      </c>
      <c r="D177" s="29" t="inlineStr">
        <is>
          <t>Sumbangan</t>
        </is>
      </c>
      <c r="E177" s="29" t="inlineStr">
        <is>
          <t>Boss Wan</t>
        </is>
      </c>
      <c r="F177" s="29" t="inlineStr">
        <is>
          <t>Sumbangan Luar - Boss Wan (Lebihan duit hadiah Program Minggu Pertama)</t>
        </is>
      </c>
      <c r="G177" s="30" t="n">
        <v>5</v>
      </c>
      <c r="H177" s="31">
        <f>IF(G177="","",SUMIF(C$2:C177,"Masuk",G$2:G177)-SUMIF(C$2:C177,"Keluar",G$2:G177))</f>
        <v/>
      </c>
    </row>
    <row r="178">
      <c r="A178" s="22" t="inlineStr">
        <is>
          <t>M0177</t>
        </is>
      </c>
      <c r="B178" s="23" t="n">
        <v>46045</v>
      </c>
      <c r="C178" s="24" t="inlineStr">
        <is>
          <t>Masuk</t>
        </is>
      </c>
      <c r="D178" s="17" t="inlineStr">
        <is>
          <t>Yuran Kelab</t>
        </is>
      </c>
      <c r="E178" s="17" t="inlineStr">
        <is>
          <t>Bang Mie</t>
        </is>
      </c>
      <c r="F178" s="17" t="inlineStr">
        <is>
          <t>Bang Mie (1)</t>
        </is>
      </c>
      <c r="G178" s="15" t="n">
        <v>35</v>
      </c>
      <c r="H178" s="25">
        <f>IF(G178="","",SUMIF(C$2:C178,"Masuk",G$2:G178)-SUMIF(C$2:C178,"Keluar",G$2:G178))</f>
        <v/>
      </c>
    </row>
    <row r="179">
      <c r="A179" s="26" t="inlineStr">
        <is>
          <t>M0178</t>
        </is>
      </c>
      <c r="B179" s="27" t="n">
        <v>46045</v>
      </c>
      <c r="C179" s="28" t="inlineStr">
        <is>
          <t>Masuk</t>
        </is>
      </c>
      <c r="D179" s="29" t="inlineStr">
        <is>
          <t>Yuran Lawatan</t>
        </is>
      </c>
      <c r="E179" s="29" t="inlineStr">
        <is>
          <t>Bang Mie</t>
        </is>
      </c>
      <c r="F179" s="29" t="inlineStr">
        <is>
          <t>Bang Mie (1)</t>
        </is>
      </c>
      <c r="G179" s="30" t="n">
        <v>50</v>
      </c>
      <c r="H179" s="31">
        <f>IF(G179="","",SUMIF(C$2:C179,"Masuk",G$2:G179)-SUMIF(C$2:C179,"Keluar",G$2:G179))</f>
        <v/>
      </c>
    </row>
    <row r="180">
      <c r="A180" s="22" t="inlineStr">
        <is>
          <t>M0179</t>
        </is>
      </c>
      <c r="B180" s="23" t="n">
        <v>46048</v>
      </c>
      <c r="C180" s="24" t="inlineStr">
        <is>
          <t>Masuk</t>
        </is>
      </c>
      <c r="D180" s="17" t="inlineStr">
        <is>
          <t>Yuran Kelab</t>
        </is>
      </c>
      <c r="E180" s="17" t="inlineStr">
        <is>
          <t>Asnawi</t>
        </is>
      </c>
      <c r="F180" s="17" t="inlineStr">
        <is>
          <t>Asnawi (1)</t>
        </is>
      </c>
      <c r="G180" s="15" t="n">
        <v>35</v>
      </c>
      <c r="H180" s="25">
        <f>IF(G180="","",SUMIF(C$2:C180,"Masuk",G$2:G180)-SUMIF(C$2:C180,"Keluar",G$2:G180))</f>
        <v/>
      </c>
    </row>
    <row r="181">
      <c r="A181" s="26" t="inlineStr">
        <is>
          <t>M0180</t>
        </is>
      </c>
      <c r="B181" s="27" t="n">
        <v>46048</v>
      </c>
      <c r="C181" s="28" t="inlineStr">
        <is>
          <t>Masuk</t>
        </is>
      </c>
      <c r="D181" s="29" t="inlineStr">
        <is>
          <t>Yuran Lawatan</t>
        </is>
      </c>
      <c r="E181" s="29" t="inlineStr">
        <is>
          <t>Asnawi</t>
        </is>
      </c>
      <c r="F181" s="29" t="inlineStr">
        <is>
          <t>Asnawi (1)</t>
        </is>
      </c>
      <c r="G181" s="30" t="n">
        <v>50</v>
      </c>
      <c r="H181" s="31">
        <f>IF(G181="","",SUMIF(C$2:C181,"Masuk",G$2:G181)-SUMIF(C$2:C181,"Keluar",G$2:G181))</f>
        <v/>
      </c>
    </row>
    <row r="182">
      <c r="A182" s="22" t="inlineStr">
        <is>
          <t>M0181</t>
        </is>
      </c>
      <c r="B182" s="23" t="n">
        <v>46050</v>
      </c>
      <c r="C182" s="24" t="inlineStr">
        <is>
          <t>Masuk</t>
        </is>
      </c>
      <c r="D182" s="17" t="inlineStr">
        <is>
          <t>Yuran Kelab</t>
        </is>
      </c>
      <c r="E182" s="17" t="inlineStr">
        <is>
          <t>Aiman</t>
        </is>
      </c>
      <c r="F182" s="17" t="inlineStr">
        <is>
          <t>Aiman (1)</t>
        </is>
      </c>
      <c r="G182" s="15" t="n">
        <v>35</v>
      </c>
      <c r="H182" s="25">
        <f>IF(G182="","",SUMIF(C$2:C182,"Masuk",G$2:G182)-SUMIF(C$2:C182,"Keluar",G$2:G182))</f>
        <v/>
      </c>
    </row>
    <row r="183">
      <c r="A183" s="26" t="inlineStr">
        <is>
          <t>M0182</t>
        </is>
      </c>
      <c r="B183" s="27" t="n">
        <v>46050</v>
      </c>
      <c r="C183" s="28" t="inlineStr">
        <is>
          <t>Masuk</t>
        </is>
      </c>
      <c r="D183" s="29" t="inlineStr">
        <is>
          <t>Yuran Lawatan</t>
        </is>
      </c>
      <c r="E183" s="29" t="inlineStr">
        <is>
          <t>Aiman</t>
        </is>
      </c>
      <c r="F183" s="29" t="inlineStr">
        <is>
          <t>Aiman (1)</t>
        </is>
      </c>
      <c r="G183" s="30" t="n">
        <v>50</v>
      </c>
      <c r="H183" s="31">
        <f>IF(G183="","",SUMIF(C$2:C183,"Masuk",G$2:G183)-SUMIF(C$2:C183,"Keluar",G$2:G183))</f>
        <v/>
      </c>
    </row>
    <row r="184">
      <c r="A184" s="22" t="inlineStr">
        <is>
          <t>M0183</t>
        </is>
      </c>
      <c r="B184" s="23" t="n">
        <v>46050</v>
      </c>
      <c r="C184" s="24" t="inlineStr">
        <is>
          <t>Masuk</t>
        </is>
      </c>
      <c r="D184" s="17" t="inlineStr">
        <is>
          <t>Yuran Kelab</t>
        </is>
      </c>
      <c r="E184" s="17" t="inlineStr">
        <is>
          <t>Wafi</t>
        </is>
      </c>
      <c r="F184" s="17" t="inlineStr">
        <is>
          <t>Wafi (11, 12, 1)</t>
        </is>
      </c>
      <c r="G184" s="15" t="n">
        <v>105</v>
      </c>
      <c r="H184" s="25">
        <f>IF(G184="","",SUMIF(C$2:C184,"Masuk",G$2:G184)-SUMIF(C$2:C184,"Keluar",G$2:G184))</f>
        <v/>
      </c>
    </row>
    <row r="185">
      <c r="A185" s="26" t="inlineStr">
        <is>
          <t>M0184</t>
        </is>
      </c>
      <c r="B185" s="27" t="n">
        <v>46050</v>
      </c>
      <c r="C185" s="28" t="inlineStr">
        <is>
          <t>Masuk</t>
        </is>
      </c>
      <c r="D185" s="29" t="inlineStr">
        <is>
          <t>Yuran Kelab</t>
        </is>
      </c>
      <c r="E185" s="29" t="inlineStr">
        <is>
          <t>Joe</t>
        </is>
      </c>
      <c r="F185" s="29" t="inlineStr">
        <is>
          <t>Joe (12, 1)</t>
        </is>
      </c>
      <c r="G185" s="30" t="n">
        <v>70</v>
      </c>
      <c r="H185" s="31">
        <f>IF(G185="","",SUMIF(C$2:C185,"Masuk",G$2:G185)-SUMIF(C$2:C185,"Keluar",G$2:G185))</f>
        <v/>
      </c>
    </row>
    <row r="186">
      <c r="A186" s="22" t="inlineStr">
        <is>
          <t>M0185</t>
        </is>
      </c>
      <c r="B186" s="23" t="n">
        <v>46050</v>
      </c>
      <c r="C186" s="24" t="inlineStr">
        <is>
          <t>Masuk</t>
        </is>
      </c>
      <c r="D186" s="17" t="inlineStr">
        <is>
          <t>Yuran Lawatan</t>
        </is>
      </c>
      <c r="E186" s="17" t="inlineStr">
        <is>
          <t>Joe</t>
        </is>
      </c>
      <c r="F186" s="17" t="inlineStr">
        <is>
          <t>Joe (12, 1)</t>
        </is>
      </c>
      <c r="G186" s="15" t="n">
        <v>100</v>
      </c>
      <c r="H186" s="25">
        <f>IF(G186="","",SUMIF(C$2:C186,"Masuk",G$2:G186)-SUMIF(C$2:C186,"Keluar",G$2:G186))</f>
        <v/>
      </c>
    </row>
    <row r="187">
      <c r="A187" s="26" t="inlineStr">
        <is>
          <t>M0186</t>
        </is>
      </c>
      <c r="B187" s="27" t="n">
        <v>46050</v>
      </c>
      <c r="C187" s="28" t="inlineStr">
        <is>
          <t>Keluar</t>
        </is>
      </c>
      <c r="D187" s="29" t="inlineStr">
        <is>
          <t>Refund</t>
        </is>
      </c>
      <c r="E187" s="29" t="inlineStr">
        <is>
          <t>Kuchai</t>
        </is>
      </c>
      <c r="F187" s="29" t="inlineStr">
        <is>
          <t>Refund Duit Lawatan - Kuchai</t>
        </is>
      </c>
      <c r="G187" s="30" t="n">
        <v>400</v>
      </c>
      <c r="H187" s="31">
        <f>IF(G187="","",SUMIF(C$2:C187,"Masuk",G$2:G187)-SUMIF(C$2:C187,"Keluar",G$2:G187))</f>
        <v/>
      </c>
    </row>
    <row r="188">
      <c r="A188" s="22" t="inlineStr">
        <is>
          <t>M0187</t>
        </is>
      </c>
      <c r="B188" s="23" t="n">
        <v>46051</v>
      </c>
      <c r="C188" s="24" t="inlineStr">
        <is>
          <t>Masuk</t>
        </is>
      </c>
      <c r="D188" s="17" t="inlineStr">
        <is>
          <t>Yuran Lawatan</t>
        </is>
      </c>
      <c r="E188" s="17" t="inlineStr">
        <is>
          <t>Ustaz</t>
        </is>
      </c>
      <c r="F188" s="17" t="inlineStr">
        <is>
          <t>Ustaz (Lawatan 12, 1)</t>
        </is>
      </c>
      <c r="G188" s="15" t="n">
        <v>100</v>
      </c>
      <c r="H188" s="25">
        <f>IF(G188="","",SUMIF(C$2:C188,"Masuk",G$2:G188)-SUMIF(C$2:C188,"Keluar",G$2:G188))</f>
        <v/>
      </c>
    </row>
    <row r="189">
      <c r="A189" s="26" t="inlineStr">
        <is>
          <t>M0188</t>
        </is>
      </c>
      <c r="B189" s="27" t="n">
        <v>46065</v>
      </c>
      <c r="C189" s="28" t="inlineStr">
        <is>
          <t>Masuk</t>
        </is>
      </c>
      <c r="D189" s="29" t="inlineStr">
        <is>
          <t>Yuran Kelab</t>
        </is>
      </c>
      <c r="E189" s="29" t="inlineStr">
        <is>
          <t>Bang Mie</t>
        </is>
      </c>
      <c r="F189" s="29" t="inlineStr">
        <is>
          <t>Bang Mie (2)</t>
        </is>
      </c>
      <c r="G189" s="30" t="n">
        <v>35</v>
      </c>
      <c r="H189" s="31">
        <f>IF(G189="","",SUMIF(C$2:C189,"Masuk",G$2:G189)-SUMIF(C$2:C189,"Keluar",G$2:G189))</f>
        <v/>
      </c>
    </row>
    <row r="190">
      <c r="A190" s="22" t="inlineStr">
        <is>
          <t>M0189</t>
        </is>
      </c>
      <c r="B190" s="23" t="n">
        <v>46065</v>
      </c>
      <c r="C190" s="24" t="inlineStr">
        <is>
          <t>Masuk</t>
        </is>
      </c>
      <c r="D190" s="17" t="inlineStr">
        <is>
          <t>Yuran Lawatan</t>
        </is>
      </c>
      <c r="E190" s="17" t="inlineStr">
        <is>
          <t>Bang Mie</t>
        </is>
      </c>
      <c r="F190" s="17" t="inlineStr">
        <is>
          <t>Bang Mie (2)</t>
        </is>
      </c>
      <c r="G190" s="15" t="n">
        <v>50</v>
      </c>
      <c r="H190" s="25">
        <f>IF(G190="","",SUMIF(C$2:C190,"Masuk",G$2:G190)-SUMIF(C$2:C190,"Keluar",G$2:G190))</f>
        <v/>
      </c>
    </row>
    <row r="191">
      <c r="A191" s="26" t="inlineStr">
        <is>
          <t>M0190</t>
        </is>
      </c>
      <c r="B191" s="27" t="n">
        <v>46065</v>
      </c>
      <c r="C191" s="28" t="inlineStr">
        <is>
          <t>Masuk</t>
        </is>
      </c>
      <c r="D191" s="29" t="inlineStr">
        <is>
          <t>Yuran Kelab</t>
        </is>
      </c>
      <c r="E191" s="29" t="inlineStr">
        <is>
          <t>Hadi</t>
        </is>
      </c>
      <c r="F191" s="29" t="inlineStr">
        <is>
          <t>Hadi (12, 1, 2)</t>
        </is>
      </c>
      <c r="G191" s="30" t="n">
        <v>105</v>
      </c>
      <c r="H191" s="31">
        <f>IF(G191="","",SUMIF(C$2:C191,"Masuk",G$2:G191)-SUMIF(C$2:C191,"Keluar",G$2:G191))</f>
        <v/>
      </c>
    </row>
    <row r="192">
      <c r="A192" s="22" t="inlineStr">
        <is>
          <t>M0191</t>
        </is>
      </c>
      <c r="B192" s="23" t="n">
        <v>46065</v>
      </c>
      <c r="C192" s="24" t="inlineStr">
        <is>
          <t>Masuk</t>
        </is>
      </c>
      <c r="D192" s="17" t="inlineStr">
        <is>
          <t>Yuran Lawatan</t>
        </is>
      </c>
      <c r="E192" s="17" t="inlineStr">
        <is>
          <t>Hadi</t>
        </is>
      </c>
      <c r="F192" s="17" t="inlineStr">
        <is>
          <t>Hadi (12, 1, 2)</t>
        </is>
      </c>
      <c r="G192" s="15" t="n">
        <v>150</v>
      </c>
      <c r="H192" s="25">
        <f>IF(G192="","",SUMIF(C$2:C192,"Masuk",G$2:G192)-SUMIF(C$2:C192,"Keluar",G$2:G192))</f>
        <v/>
      </c>
    </row>
    <row r="193">
      <c r="A193" s="26" t="inlineStr">
        <is>
          <t>M0192</t>
        </is>
      </c>
      <c r="B193" s="27" t="n">
        <v>46065</v>
      </c>
      <c r="C193" s="28" t="inlineStr">
        <is>
          <t>Masuk</t>
        </is>
      </c>
      <c r="D193" s="29" t="inlineStr">
        <is>
          <t>Yuran Kelab</t>
        </is>
      </c>
      <c r="E193" s="29" t="inlineStr">
        <is>
          <t>Boss Wan</t>
        </is>
      </c>
      <c r="F193" s="29" t="inlineStr">
        <is>
          <t>Boss Wan (3)</t>
        </is>
      </c>
      <c r="G193" s="30" t="n">
        <v>35</v>
      </c>
      <c r="H193" s="31">
        <f>IF(G193="","",SUMIF(C$2:C193,"Masuk",G$2:G193)-SUMIF(C$2:C193,"Keluar",G$2:G193))</f>
        <v/>
      </c>
    </row>
    <row r="194">
      <c r="A194" s="22" t="inlineStr">
        <is>
          <t>M0193</t>
        </is>
      </c>
      <c r="B194" s="23" t="n">
        <v>46065</v>
      </c>
      <c r="C194" s="24" t="inlineStr">
        <is>
          <t>Masuk</t>
        </is>
      </c>
      <c r="D194" s="17" t="inlineStr">
        <is>
          <t>Yuran Lawatan</t>
        </is>
      </c>
      <c r="E194" s="17" t="inlineStr">
        <is>
          <t>Boss Wan</t>
        </is>
      </c>
      <c r="F194" s="17" t="inlineStr">
        <is>
          <t>Boss Wan (Lawatan 6)</t>
        </is>
      </c>
      <c r="G194" s="15" t="n">
        <v>50</v>
      </c>
      <c r="H194" s="25">
        <f>IF(G194="","",SUMIF(C$2:C194,"Masuk",G$2:G194)-SUMIF(C$2:C194,"Keluar",G$2:G194))</f>
        <v/>
      </c>
    </row>
    <row r="195">
      <c r="A195" s="26" t="inlineStr">
        <is>
          <t>M0194</t>
        </is>
      </c>
      <c r="B195" s="27" t="n">
        <v>46065</v>
      </c>
      <c r="C195" s="28" t="inlineStr">
        <is>
          <t>Masuk</t>
        </is>
      </c>
      <c r="D195" s="29" t="inlineStr">
        <is>
          <t>Yuran Kelab</t>
        </is>
      </c>
      <c r="E195" s="29" t="inlineStr">
        <is>
          <t>Chang</t>
        </is>
      </c>
      <c r="F195" s="29" t="inlineStr">
        <is>
          <t>Chang (2)</t>
        </is>
      </c>
      <c r="G195" s="30" t="n">
        <v>35</v>
      </c>
      <c r="H195" s="31">
        <f>IF(G195="","",SUMIF(C$2:C195,"Masuk",G$2:G195)-SUMIF(C$2:C195,"Keluar",G$2:G195))</f>
        <v/>
      </c>
    </row>
    <row r="196">
      <c r="A196" s="22" t="inlineStr">
        <is>
          <t>M0195</t>
        </is>
      </c>
      <c r="B196" s="23" t="n">
        <v>46065</v>
      </c>
      <c r="C196" s="24" t="inlineStr">
        <is>
          <t>Masuk</t>
        </is>
      </c>
      <c r="D196" s="17" t="inlineStr">
        <is>
          <t>Yuran Lawatan</t>
        </is>
      </c>
      <c r="E196" s="17" t="inlineStr">
        <is>
          <t>Chang</t>
        </is>
      </c>
      <c r="F196" s="17" t="inlineStr">
        <is>
          <t>Chang (2)</t>
        </is>
      </c>
      <c r="G196" s="15" t="n">
        <v>50</v>
      </c>
      <c r="H196" s="25">
        <f>IF(G196="","",SUMIF(C$2:C196,"Masuk",G$2:G196)-SUMIF(C$2:C196,"Keluar",G$2:G196))</f>
        <v/>
      </c>
    </row>
    <row r="197">
      <c r="A197" s="26" t="inlineStr">
        <is>
          <t>M0196</t>
        </is>
      </c>
      <c r="B197" s="27" t="n">
        <v>46065</v>
      </c>
      <c r="C197" s="28" t="inlineStr">
        <is>
          <t>Keluar</t>
        </is>
      </c>
      <c r="D197" s="29" t="inlineStr">
        <is>
          <t>Lawatan / Trip</t>
        </is>
      </c>
      <c r="E197" s="29" t="inlineStr"/>
      <c r="F197" s="29" t="inlineStr">
        <is>
          <t>Deposit Trip ke Satun</t>
        </is>
      </c>
      <c r="G197" s="30" t="n">
        <v>1500</v>
      </c>
      <c r="H197" s="31">
        <f>IF(G197="","",SUMIF(C$2:C197,"Masuk",G$2:G197)-SUMIF(C$2:C197,"Keluar",G$2:G197))</f>
        <v/>
      </c>
    </row>
    <row r="198">
      <c r="A198" s="22" t="inlineStr">
        <is>
          <t>M0197</t>
        </is>
      </c>
      <c r="B198" s="23" t="n">
        <v>46066</v>
      </c>
      <c r="C198" s="24" t="inlineStr">
        <is>
          <t>Masuk</t>
        </is>
      </c>
      <c r="D198" s="17" t="inlineStr">
        <is>
          <t>Yuran Kelab</t>
        </is>
      </c>
      <c r="E198" s="17" t="inlineStr">
        <is>
          <t>Aiman</t>
        </is>
      </c>
      <c r="F198" s="17" t="inlineStr">
        <is>
          <t>Aiman (2)</t>
        </is>
      </c>
      <c r="G198" s="15" t="n">
        <v>35</v>
      </c>
      <c r="H198" s="25">
        <f>IF(G198="","",SUMIF(C$2:C198,"Masuk",G$2:G198)-SUMIF(C$2:C198,"Keluar",G$2:G198))</f>
        <v/>
      </c>
    </row>
    <row r="199">
      <c r="A199" s="26" t="inlineStr">
        <is>
          <t>M0198</t>
        </is>
      </c>
      <c r="B199" s="27" t="n">
        <v>46066</v>
      </c>
      <c r="C199" s="28" t="inlineStr">
        <is>
          <t>Masuk</t>
        </is>
      </c>
      <c r="D199" s="29" t="inlineStr">
        <is>
          <t>Yuran Lawatan</t>
        </is>
      </c>
      <c r="E199" s="29" t="inlineStr">
        <is>
          <t>Aiman</t>
        </is>
      </c>
      <c r="F199" s="29" t="inlineStr">
        <is>
          <t>Aiman (2)</t>
        </is>
      </c>
      <c r="G199" s="30" t="n">
        <v>50</v>
      </c>
      <c r="H199" s="31">
        <f>IF(G199="","",SUMIF(C$2:C199,"Masuk",G$2:G199)-SUMIF(C$2:C199,"Keluar",G$2:G199))</f>
        <v/>
      </c>
    </row>
    <row r="200">
      <c r="A200" s="22" t="inlineStr">
        <is>
          <t>M0199</t>
        </is>
      </c>
      <c r="B200" s="23" t="n">
        <v>46067</v>
      </c>
      <c r="C200" s="24" t="inlineStr">
        <is>
          <t>Masuk</t>
        </is>
      </c>
      <c r="D200" s="17" t="inlineStr">
        <is>
          <t>Yuran Kelab</t>
        </is>
      </c>
      <c r="E200" s="17" t="inlineStr">
        <is>
          <t>Asnawi</t>
        </is>
      </c>
      <c r="F200" s="17" t="inlineStr">
        <is>
          <t>Asnawi (2)</t>
        </is>
      </c>
      <c r="G200" s="15" t="n">
        <v>35</v>
      </c>
      <c r="H200" s="25">
        <f>IF(G200="","",SUMIF(C$2:C200,"Masuk",G$2:G200)-SUMIF(C$2:C200,"Keluar",G$2:G200))</f>
        <v/>
      </c>
    </row>
    <row r="201">
      <c r="A201" s="26" t="inlineStr">
        <is>
          <t>M0200</t>
        </is>
      </c>
      <c r="B201" s="27" t="n">
        <v>46067</v>
      </c>
      <c r="C201" s="28" t="inlineStr">
        <is>
          <t>Masuk</t>
        </is>
      </c>
      <c r="D201" s="29" t="inlineStr">
        <is>
          <t>Yuran Lawatan</t>
        </is>
      </c>
      <c r="E201" s="29" t="inlineStr">
        <is>
          <t>Asnawi</t>
        </is>
      </c>
      <c r="F201" s="29" t="inlineStr">
        <is>
          <t>Asnawi (2)</t>
        </is>
      </c>
      <c r="G201" s="30" t="n">
        <v>50</v>
      </c>
      <c r="H201" s="31">
        <f>IF(G201="","",SUMIF(C$2:C201,"Masuk",G$2:G201)-SUMIF(C$2:C201,"Keluar",G$2:G201))</f>
        <v/>
      </c>
    </row>
    <row r="202">
      <c r="A202" s="22" t="inlineStr">
        <is>
          <t>M0201</t>
        </is>
      </c>
      <c r="B202" s="23" t="n">
        <v>46076</v>
      </c>
      <c r="C202" s="24" t="inlineStr">
        <is>
          <t>Masuk</t>
        </is>
      </c>
      <c r="D202" s="17" t="inlineStr">
        <is>
          <t>Yuran Lawatan</t>
        </is>
      </c>
      <c r="E202" s="17" t="inlineStr">
        <is>
          <t>Hasnol</t>
        </is>
      </c>
      <c r="F202" s="17" t="inlineStr">
        <is>
          <t>Hasnol (Lawatan 7, 8, 9, 10, 11, setengah bulan 12)</t>
        </is>
      </c>
      <c r="G202" s="15" t="n">
        <v>225</v>
      </c>
      <c r="H202" s="25">
        <f>IF(G202="","",SUMIF(C$2:C202,"Masuk",G$2:G202)-SUMIF(C$2:C202,"Keluar",G$2:G202))</f>
        <v/>
      </c>
    </row>
    <row r="203">
      <c r="A203" s="26" t="inlineStr">
        <is>
          <t>M0202</t>
        </is>
      </c>
      <c r="B203" s="27" t="n">
        <v>46076</v>
      </c>
      <c r="C203" s="28" t="inlineStr">
        <is>
          <t>Masuk</t>
        </is>
      </c>
      <c r="D203" s="29" t="inlineStr">
        <is>
          <t>Yuran Lawatan</t>
        </is>
      </c>
      <c r="E203" s="29" t="inlineStr">
        <is>
          <t>Ustaz</t>
        </is>
      </c>
      <c r="F203" s="29" t="inlineStr">
        <is>
          <t>Ustaz (Lawatan 1, 2)</t>
        </is>
      </c>
      <c r="G203" s="30" t="n">
        <v>100</v>
      </c>
      <c r="H203" s="31">
        <f>IF(G203="","",SUMIF(C$2:C203,"Masuk",G$2:G203)-SUMIF(C$2:C203,"Keluar",G$2:G203))</f>
        <v/>
      </c>
    </row>
    <row r="204">
      <c r="A204" s="22" t="inlineStr">
        <is>
          <t>M0203</t>
        </is>
      </c>
      <c r="B204" s="23" t="n">
        <v>46078</v>
      </c>
      <c r="C204" s="24" t="inlineStr">
        <is>
          <t>Keluar</t>
        </is>
      </c>
      <c r="D204" s="17" t="inlineStr">
        <is>
          <t>Lawatan / Trip</t>
        </is>
      </c>
      <c r="E204" s="17" t="inlineStr"/>
      <c r="F204" s="17" t="inlineStr">
        <is>
          <t>Deposit Trip ke Satun</t>
        </is>
      </c>
      <c r="G204" s="15" t="n">
        <v>750</v>
      </c>
      <c r="H204" s="25">
        <f>IF(G204="","",SUMIF(C$2:C204,"Masuk",G$2:G204)-SUMIF(C$2:C204,"Keluar",G$2:G204))</f>
        <v/>
      </c>
    </row>
    <row r="205">
      <c r="A205" s="26" t="inlineStr">
        <is>
          <t>M0204</t>
        </is>
      </c>
      <c r="B205" s="27" t="n">
        <v>46078</v>
      </c>
      <c r="C205" s="28" t="inlineStr">
        <is>
          <t>Keluar</t>
        </is>
      </c>
      <c r="D205" s="29" t="inlineStr">
        <is>
          <t>Langganan / Bahan</t>
        </is>
      </c>
      <c r="E205" s="29" t="inlineStr"/>
      <c r="F205" s="29" t="inlineStr">
        <is>
          <t>Buku Perancangan Rasmi JPN Perak</t>
        </is>
      </c>
      <c r="G205" s="30" t="n">
        <v>325</v>
      </c>
      <c r="H205" s="31">
        <f>IF(G205="","",SUMIF(C$2:C205,"Masuk",G$2:G205)-SUMIF(C$2:C205,"Keluar",G$2:G205))</f>
        <v/>
      </c>
    </row>
    <row r="206">
      <c r="A206" s="22" t="inlineStr">
        <is>
          <t>M0205</t>
        </is>
      </c>
      <c r="B206" s="23" t="n">
        <v>46079</v>
      </c>
      <c r="C206" s="24" t="inlineStr">
        <is>
          <t>Masuk</t>
        </is>
      </c>
      <c r="D206" s="17" t="inlineStr">
        <is>
          <t>Yuran Kelab</t>
        </is>
      </c>
      <c r="E206" s="17" t="inlineStr">
        <is>
          <t>Khairiri</t>
        </is>
      </c>
      <c r="F206" s="17" t="inlineStr">
        <is>
          <t>Khairiri (2)</t>
        </is>
      </c>
      <c r="G206" s="15" t="n">
        <v>35</v>
      </c>
      <c r="H206" s="25">
        <f>IF(G206="","",SUMIF(C$2:C206,"Masuk",G$2:G206)-SUMIF(C$2:C206,"Keluar",G$2:G206))</f>
        <v/>
      </c>
    </row>
    <row r="207">
      <c r="A207" s="26" t="inlineStr">
        <is>
          <t>M0206</t>
        </is>
      </c>
      <c r="B207" s="27" t="n">
        <v>46079</v>
      </c>
      <c r="C207" s="28" t="inlineStr">
        <is>
          <t>Masuk</t>
        </is>
      </c>
      <c r="D207" s="29" t="inlineStr">
        <is>
          <t>Yuran Lawatan</t>
        </is>
      </c>
      <c r="E207" s="29" t="inlineStr">
        <is>
          <t>Khairiri</t>
        </is>
      </c>
      <c r="F207" s="29" t="inlineStr">
        <is>
          <t>Khairiri (2)</t>
        </is>
      </c>
      <c r="G207" s="30" t="n">
        <v>50</v>
      </c>
      <c r="H207" s="31">
        <f>IF(G207="","",SUMIF(C$2:C207,"Masuk",G$2:G207)-SUMIF(C$2:C207,"Keluar",G$2:G207))</f>
        <v/>
      </c>
    </row>
    <row r="208">
      <c r="A208" s="22" t="inlineStr">
        <is>
          <t>M0207</t>
        </is>
      </c>
      <c r="B208" s="23" t="n">
        <v>46086</v>
      </c>
      <c r="C208" s="24" t="inlineStr">
        <is>
          <t>Masuk</t>
        </is>
      </c>
      <c r="D208" s="17" t="inlineStr">
        <is>
          <t>Yuran Kelab</t>
        </is>
      </c>
      <c r="E208" s="17" t="inlineStr">
        <is>
          <t>Amir</t>
        </is>
      </c>
      <c r="F208" s="17" t="inlineStr">
        <is>
          <t>Amir (2)</t>
        </is>
      </c>
      <c r="G208" s="15" t="n">
        <v>35</v>
      </c>
      <c r="H208" s="25">
        <f>IF(G208="","",SUMIF(C$2:C208,"Masuk",G$2:G208)-SUMIF(C$2:C208,"Keluar",G$2:G208))</f>
        <v/>
      </c>
    </row>
    <row r="209">
      <c r="A209" s="26" t="inlineStr">
        <is>
          <t>M0208</t>
        </is>
      </c>
      <c r="B209" s="27" t="n">
        <v>46086</v>
      </c>
      <c r="C209" s="28" t="inlineStr">
        <is>
          <t>Masuk</t>
        </is>
      </c>
      <c r="D209" s="29" t="inlineStr">
        <is>
          <t>Yuran Lawatan</t>
        </is>
      </c>
      <c r="E209" s="29" t="inlineStr">
        <is>
          <t>Amir</t>
        </is>
      </c>
      <c r="F209" s="29" t="inlineStr">
        <is>
          <t>Amir (2)</t>
        </is>
      </c>
      <c r="G209" s="30" t="n">
        <v>50</v>
      </c>
      <c r="H209" s="31">
        <f>IF(G209="","",SUMIF(C$2:C209,"Masuk",G$2:G209)-SUMIF(C$2:C209,"Keluar",G$2:G209))</f>
        <v/>
      </c>
    </row>
    <row r="210">
      <c r="A210" s="22" t="inlineStr">
        <is>
          <t>M0209</t>
        </is>
      </c>
      <c r="B210" s="23" t="n">
        <v>46086</v>
      </c>
      <c r="C210" s="24" t="inlineStr">
        <is>
          <t>Keluar</t>
        </is>
      </c>
      <c r="D210" s="17" t="inlineStr">
        <is>
          <t>Majlis &amp; Hadiah</t>
        </is>
      </c>
      <c r="E210" s="17" t="inlineStr"/>
      <c r="F210" s="17" t="inlineStr">
        <is>
          <t>Sumbangan kepada Anak BangMie</t>
        </is>
      </c>
      <c r="G210" s="15" t="n">
        <v>50</v>
      </c>
      <c r="H210" s="25">
        <f>IF(G210="","",SUMIF(C$2:C210,"Masuk",G$2:G210)-SUMIF(C$2:C210,"Keluar",G$2:G210))</f>
        <v/>
      </c>
    </row>
    <row r="211">
      <c r="A211" s="26" t="inlineStr">
        <is>
          <t>M0210</t>
        </is>
      </c>
      <c r="B211" s="27" t="n">
        <v>46090</v>
      </c>
      <c r="C211" s="28" t="inlineStr">
        <is>
          <t>Keluar</t>
        </is>
      </c>
      <c r="D211" s="29" t="inlineStr">
        <is>
          <t>Lawatan / Trip</t>
        </is>
      </c>
      <c r="E211" s="29" t="inlineStr">
        <is>
          <t>Asnawi</t>
        </is>
      </c>
      <c r="F211" s="29" t="inlineStr">
        <is>
          <t>Bayaran Semua Lawatan - Asnawi</t>
        </is>
      </c>
      <c r="G211" s="30" t="n">
        <v>2355</v>
      </c>
      <c r="H211" s="31">
        <f>IF(G211="","",SUMIF(C$2:C211,"Masuk",G$2:G211)-SUMIF(C$2:C211,"Keluar",G$2:G211))</f>
        <v/>
      </c>
    </row>
    <row r="212">
      <c r="A212" s="22" t="inlineStr">
        <is>
          <t>M0211</t>
        </is>
      </c>
      <c r="B212" s="23" t="n">
        <v>46092</v>
      </c>
      <c r="C212" s="24" t="inlineStr">
        <is>
          <t>Keluar</t>
        </is>
      </c>
      <c r="D212" s="17" t="inlineStr">
        <is>
          <t>Majlis &amp; Hadiah</t>
        </is>
      </c>
      <c r="E212" s="17" t="inlineStr">
        <is>
          <t>Asnawi</t>
        </is>
      </c>
      <c r="F212" s="17" t="inlineStr">
        <is>
          <t>Sumbangan Kahwin Aiman - Asnawi</t>
        </is>
      </c>
      <c r="G212" s="15" t="n">
        <v>200</v>
      </c>
      <c r="H212" s="25">
        <f>IF(G212="","",SUMIF(C$2:C212,"Masuk",G$2:G212)-SUMIF(C$2:C212,"Keluar",G$2:G212))</f>
        <v/>
      </c>
    </row>
    <row r="213">
      <c r="A213" s="26" t="inlineStr">
        <is>
          <t>M0212</t>
        </is>
      </c>
      <c r="B213" s="27" t="n">
        <v>46094</v>
      </c>
      <c r="C213" s="28" t="inlineStr">
        <is>
          <t>Masuk</t>
        </is>
      </c>
      <c r="D213" s="29" t="inlineStr">
        <is>
          <t>Yuran Kelab</t>
        </is>
      </c>
      <c r="E213" s="29" t="inlineStr">
        <is>
          <t>Asnawi</t>
        </is>
      </c>
      <c r="F213" s="29" t="inlineStr">
        <is>
          <t>Asnawi (3)</t>
        </is>
      </c>
      <c r="G213" s="30" t="n">
        <v>35</v>
      </c>
      <c r="H213" s="31">
        <f>IF(G213="","",SUMIF(C$2:C213,"Masuk",G$2:G213)-SUMIF(C$2:C213,"Keluar",G$2:G213))</f>
        <v/>
      </c>
    </row>
    <row r="214">
      <c r="A214" s="22" t="inlineStr">
        <is>
          <t>M0213</t>
        </is>
      </c>
      <c r="B214" s="23" t="n">
        <v>46094</v>
      </c>
      <c r="C214" s="24" t="inlineStr">
        <is>
          <t>Masuk</t>
        </is>
      </c>
      <c r="D214" s="17" t="inlineStr">
        <is>
          <t>Yuran Kelab</t>
        </is>
      </c>
      <c r="E214" s="17" t="inlineStr">
        <is>
          <t>Khairiri</t>
        </is>
      </c>
      <c r="F214" s="17" t="inlineStr">
        <is>
          <t>Khairiri (3) (Hutang Lawatan)</t>
        </is>
      </c>
      <c r="G214" s="15" t="n">
        <v>35</v>
      </c>
      <c r="H214" s="25">
        <f>IF(G214="","",SUMIF(C$2:C214,"Masuk",G$2:G214)-SUMIF(C$2:C214,"Keluar",G$2:G214))</f>
        <v/>
      </c>
    </row>
    <row r="215">
      <c r="A215" s="26" t="inlineStr">
        <is>
          <t>M0214</t>
        </is>
      </c>
      <c r="B215" s="27" t="n">
        <v>46094</v>
      </c>
      <c r="C215" s="28" t="inlineStr">
        <is>
          <t>Masuk</t>
        </is>
      </c>
      <c r="D215" s="29" t="inlineStr">
        <is>
          <t>Yuran Lawatan</t>
        </is>
      </c>
      <c r="E215" s="29" t="inlineStr">
        <is>
          <t>Khairiri</t>
        </is>
      </c>
      <c r="F215" s="29" t="inlineStr">
        <is>
          <t>Khairiri (3) (Hutang Lawatan)</t>
        </is>
      </c>
      <c r="G215" s="30" t="n">
        <v>100</v>
      </c>
      <c r="H215" s="31">
        <f>IF(G215="","",SUMIF(C$2:C215,"Masuk",G$2:G215)-SUMIF(C$2:C215,"Keluar",G$2:G215))</f>
        <v/>
      </c>
    </row>
    <row r="216">
      <c r="A216" s="22" t="inlineStr">
        <is>
          <t>M0215</t>
        </is>
      </c>
      <c r="B216" s="23" t="n">
        <v>46094</v>
      </c>
      <c r="C216" s="24" t="inlineStr">
        <is>
          <t>Masuk</t>
        </is>
      </c>
      <c r="D216" s="17" t="inlineStr">
        <is>
          <t>Yuran Kelab</t>
        </is>
      </c>
      <c r="E216" s="17" t="inlineStr">
        <is>
          <t>Amir</t>
        </is>
      </c>
      <c r="F216" s="17" t="inlineStr">
        <is>
          <t>Amir (3)</t>
        </is>
      </c>
      <c r="G216" s="15" t="n">
        <v>35</v>
      </c>
      <c r="H216" s="25">
        <f>IF(G216="","",SUMIF(C$2:C216,"Masuk",G$2:G216)-SUMIF(C$2:C216,"Keluar",G$2:G216))</f>
        <v/>
      </c>
    </row>
    <row r="217">
      <c r="A217" s="26" t="inlineStr">
        <is>
          <t>M0216</t>
        </is>
      </c>
      <c r="B217" s="27" t="n">
        <v>46094</v>
      </c>
      <c r="C217" s="28" t="inlineStr">
        <is>
          <t>Masuk</t>
        </is>
      </c>
      <c r="D217" s="29" t="inlineStr">
        <is>
          <t>Yuran Kelab</t>
        </is>
      </c>
      <c r="E217" s="29" t="inlineStr">
        <is>
          <t>Chang</t>
        </is>
      </c>
      <c r="F217" s="29" t="inlineStr">
        <is>
          <t>Chang (3)</t>
        </is>
      </c>
      <c r="G217" s="30" t="n">
        <v>35</v>
      </c>
      <c r="H217" s="31">
        <f>IF(G217="","",SUMIF(C$2:C217,"Masuk",G$2:G217)-SUMIF(C$2:C217,"Keluar",G$2:G217))</f>
        <v/>
      </c>
    </row>
    <row r="218">
      <c r="A218" s="22" t="inlineStr">
        <is>
          <t>M0217</t>
        </is>
      </c>
      <c r="B218" s="23" t="n">
        <v>46094</v>
      </c>
      <c r="C218" s="24" t="inlineStr">
        <is>
          <t>Masuk</t>
        </is>
      </c>
      <c r="D218" s="17" t="inlineStr">
        <is>
          <t>Yuran Kelab</t>
        </is>
      </c>
      <c r="E218" s="17" t="inlineStr">
        <is>
          <t>Kuchai</t>
        </is>
      </c>
      <c r="F218" s="17" t="inlineStr">
        <is>
          <t>Kuchai (3)</t>
        </is>
      </c>
      <c r="G218" s="15" t="n">
        <v>35</v>
      </c>
      <c r="H218" s="25">
        <f>IF(G218="","",SUMIF(C$2:C218,"Masuk",G$2:G218)-SUMIF(C$2:C218,"Keluar",G$2:G218))</f>
        <v/>
      </c>
    </row>
    <row r="219">
      <c r="A219" s="26" t="inlineStr">
        <is>
          <t>M0218</t>
        </is>
      </c>
      <c r="B219" s="27" t="n">
        <v>46094</v>
      </c>
      <c r="C219" s="28" t="inlineStr">
        <is>
          <t>Masuk</t>
        </is>
      </c>
      <c r="D219" s="29" t="inlineStr">
        <is>
          <t>Yuran Kelab</t>
        </is>
      </c>
      <c r="E219" s="29" t="inlineStr">
        <is>
          <t>Joe</t>
        </is>
      </c>
      <c r="F219" s="29" t="inlineStr">
        <is>
          <t>Joe (2, 3)</t>
        </is>
      </c>
      <c r="G219" s="30" t="n">
        <v>70</v>
      </c>
      <c r="H219" s="31">
        <f>IF(G219="","",SUMIF(C$2:C219,"Masuk",G$2:G219)-SUMIF(C$2:C219,"Keluar",G$2:G219))</f>
        <v/>
      </c>
    </row>
    <row r="220">
      <c r="A220" s="22" t="inlineStr">
        <is>
          <t>M0219</t>
        </is>
      </c>
      <c r="B220" s="23" t="n">
        <v>46094</v>
      </c>
      <c r="C220" s="24" t="inlineStr">
        <is>
          <t>Masuk</t>
        </is>
      </c>
      <c r="D220" s="17" t="inlineStr">
        <is>
          <t>Yuran Kelab</t>
        </is>
      </c>
      <c r="E220" s="17" t="inlineStr">
        <is>
          <t>Ustaz</t>
        </is>
      </c>
      <c r="F220" s="17" t="inlineStr">
        <is>
          <t>Ustaz (3, 8, 9)</t>
        </is>
      </c>
      <c r="G220" s="15" t="n">
        <v>105</v>
      </c>
      <c r="H220" s="25">
        <f>IF(G220="","",SUMIF(C$2:C220,"Masuk",G$2:G220)-SUMIF(C$2:C220,"Keluar",G$2:G220))</f>
        <v/>
      </c>
    </row>
    <row r="221">
      <c r="A221" s="26" t="inlineStr">
        <is>
          <t>M0220</t>
        </is>
      </c>
      <c r="B221" s="27" t="n">
        <v>46094</v>
      </c>
      <c r="C221" s="28" t="inlineStr">
        <is>
          <t>Masuk</t>
        </is>
      </c>
      <c r="D221" s="29" t="inlineStr">
        <is>
          <t>Yuran Kelab</t>
        </is>
      </c>
      <c r="E221" s="29" t="inlineStr">
        <is>
          <t>Boss Wan</t>
        </is>
      </c>
      <c r="F221" s="29" t="inlineStr">
        <is>
          <t>Boss Wan (4)</t>
        </is>
      </c>
      <c r="G221" s="30" t="n">
        <v>35</v>
      </c>
      <c r="H221" s="31">
        <f>IF(G221="","",SUMIF(C$2:C221,"Masuk",G$2:G221)-SUMIF(C$2:C221,"Keluar",G$2:G221))</f>
        <v/>
      </c>
    </row>
    <row r="222">
      <c r="A222" s="22" t="inlineStr">
        <is>
          <t>M0221</t>
        </is>
      </c>
      <c r="B222" s="23" t="n">
        <v>46094</v>
      </c>
      <c r="C222" s="24" t="inlineStr">
        <is>
          <t>Keluar</t>
        </is>
      </c>
      <c r="D222" s="17" t="inlineStr">
        <is>
          <t>Lawatan / Trip</t>
        </is>
      </c>
      <c r="E222" s="17" t="inlineStr">
        <is>
          <t>Khairiri</t>
        </is>
      </c>
      <c r="F222" s="17" t="inlineStr">
        <is>
          <t>Khairiri (Hutang Lawatan)</t>
        </is>
      </c>
      <c r="G222" s="15" t="n">
        <v>100</v>
      </c>
      <c r="H222" s="25">
        <f>IF(G222="","",SUMIF(C$2:C222,"Masuk",G$2:G222)-SUMIF(C$2:C222,"Keluar",G$2:G222))</f>
        <v/>
      </c>
    </row>
    <row r="223">
      <c r="A223" s="26" t="inlineStr">
        <is>
          <t>M0222</t>
        </is>
      </c>
      <c r="B223" s="27" t="n">
        <v>46098</v>
      </c>
      <c r="C223" s="28" t="inlineStr">
        <is>
          <t>Keluar</t>
        </is>
      </c>
      <c r="D223" s="29" t="inlineStr">
        <is>
          <t>Majlis &amp; Hadiah</t>
        </is>
      </c>
      <c r="E223" s="29" t="inlineStr">
        <is>
          <t>Wafi</t>
        </is>
      </c>
      <c r="F223" s="29" t="inlineStr">
        <is>
          <t>Makanan Jamuan Raya - Wafi</t>
        </is>
      </c>
      <c r="G223" s="30" t="n">
        <v>600</v>
      </c>
      <c r="H223" s="31">
        <f>IF(G223="","",SUMIF(C$2:C223,"Masuk",G$2:G223)-SUMIF(C$2:C223,"Keluar",G$2:G223))</f>
        <v/>
      </c>
    </row>
    <row r="224">
      <c r="A224" s="22" t="inlineStr">
        <is>
          <t>M0223</t>
        </is>
      </c>
      <c r="B224" s="23" t="n">
        <v>46112</v>
      </c>
      <c r="C224" s="24" t="inlineStr">
        <is>
          <t>Masuk</t>
        </is>
      </c>
      <c r="D224" s="17" t="inlineStr">
        <is>
          <t>Yuran Kelab</t>
        </is>
      </c>
      <c r="E224" s="17" t="inlineStr">
        <is>
          <t>Hadi</t>
        </is>
      </c>
      <c r="F224" s="17" t="inlineStr">
        <is>
          <t>Hadi (3, 8)</t>
        </is>
      </c>
      <c r="G224" s="15" t="n">
        <v>70</v>
      </c>
      <c r="H224" s="25">
        <f>IF(G224="","",SUMIF(C$2:C224,"Masuk",G$2:G224)-SUMIF(C$2:C224,"Keluar",G$2:G224))</f>
        <v/>
      </c>
    </row>
    <row r="225">
      <c r="A225" s="26" t="inlineStr">
        <is>
          <t>M0224</t>
        </is>
      </c>
      <c r="B225" s="27" t="n">
        <v>46112</v>
      </c>
      <c r="C225" s="28" t="inlineStr">
        <is>
          <t>Masuk</t>
        </is>
      </c>
      <c r="D225" s="29" t="inlineStr">
        <is>
          <t>Yuran Lawatan</t>
        </is>
      </c>
      <c r="E225" s="29" t="inlineStr">
        <is>
          <t>Ustaz</t>
        </is>
      </c>
      <c r="F225" s="29" t="inlineStr">
        <is>
          <t>Ustaz</t>
        </is>
      </c>
      <c r="G225" s="30" t="n">
        <v>100</v>
      </c>
      <c r="H225" s="31">
        <f>IF(G225="","",SUMIF(C$2:C225,"Masuk",G$2:G225)-SUMIF(C$2:C225,"Keluar",G$2:G225))</f>
        <v/>
      </c>
    </row>
    <row r="226">
      <c r="A226" s="22" t="inlineStr">
        <is>
          <t>M0225</t>
        </is>
      </c>
      <c r="B226" s="23" t="n">
        <v>46112</v>
      </c>
      <c r="C226" s="24" t="inlineStr">
        <is>
          <t>Keluar</t>
        </is>
      </c>
      <c r="D226" s="17" t="inlineStr">
        <is>
          <t>Majlis &amp; Hadiah</t>
        </is>
      </c>
      <c r="E226" s="17" t="inlineStr">
        <is>
          <t>Asnawi</t>
        </is>
      </c>
      <c r="F226" s="17" t="inlineStr">
        <is>
          <t>Majlis Perpisahan Wafi - Asnawi</t>
        </is>
      </c>
      <c r="G226" s="15" t="n">
        <v>260</v>
      </c>
      <c r="H226" s="25">
        <f>IF(G226="","",SUMIF(C$2:C226,"Masuk",G$2:G226)-SUMIF(C$2:C226,"Keluar",G$2:G226))</f>
        <v/>
      </c>
    </row>
    <row r="227">
      <c r="A227" s="26" t="inlineStr">
        <is>
          <t>M0226</t>
        </is>
      </c>
      <c r="B227" s="27" t="n">
        <v>46112</v>
      </c>
      <c r="C227" s="28" t="inlineStr">
        <is>
          <t>Keluar</t>
        </is>
      </c>
      <c r="D227" s="29" t="inlineStr">
        <is>
          <t>Majlis &amp; Hadiah</t>
        </is>
      </c>
      <c r="E227" s="29" t="inlineStr">
        <is>
          <t>Hadi</t>
        </is>
      </c>
      <c r="F227" s="29" t="inlineStr">
        <is>
          <t>Hadiah Perpisahan Wafi - Hadi</t>
        </is>
      </c>
      <c r="G227" s="30" t="n">
        <v>273</v>
      </c>
      <c r="H227" s="31">
        <f>IF(G227="","",SUMIF(C$2:C227,"Masuk",G$2:G227)-SUMIF(C$2:C227,"Keluar",G$2:G227))</f>
        <v/>
      </c>
    </row>
    <row r="228">
      <c r="A228" s="22" t="inlineStr">
        <is>
          <t>M0227</t>
        </is>
      </c>
      <c r="B228" s="23" t="n">
        <v>46112</v>
      </c>
      <c r="C228" s="24" t="inlineStr">
        <is>
          <t>Keluar</t>
        </is>
      </c>
      <c r="D228" s="17" t="inlineStr">
        <is>
          <t>Majlis &amp; Hadiah</t>
        </is>
      </c>
      <c r="E228" s="17" t="inlineStr">
        <is>
          <t>Asnawi</t>
        </is>
      </c>
      <c r="F228" s="17" t="inlineStr">
        <is>
          <t>Hadiah Perpisahan Wafi - Asnawi</t>
        </is>
      </c>
      <c r="G228" s="15" t="n">
        <v>27</v>
      </c>
      <c r="H228" s="25">
        <f>IF(G228="","",SUMIF(C$2:C228,"Masuk",G$2:G228)-SUMIF(C$2:C228,"Keluar",G$2:G228))</f>
        <v/>
      </c>
    </row>
    <row r="229">
      <c r="A229" s="26" t="inlineStr">
        <is>
          <t>M0228</t>
        </is>
      </c>
      <c r="B229" s="27" t="n">
        <v>46112</v>
      </c>
      <c r="C229" s="28" t="inlineStr">
        <is>
          <t>Keluar</t>
        </is>
      </c>
      <c r="D229" s="29" t="inlineStr">
        <is>
          <t>Majlis &amp; Hadiah</t>
        </is>
      </c>
      <c r="E229" s="29" t="inlineStr">
        <is>
          <t>Hadi</t>
        </is>
      </c>
      <c r="F229" s="29" t="inlineStr">
        <is>
          <t>Minuman Jamuan Raya - Hadi</t>
        </is>
      </c>
      <c r="G229" s="30" t="n">
        <v>20</v>
      </c>
      <c r="H229" s="31">
        <f>IF(G229="","",SUMIF(C$2:C229,"Masuk",G$2:G229)-SUMIF(C$2:C229,"Keluar",G$2:G229))</f>
        <v/>
      </c>
    </row>
    <row r="230">
      <c r="A230" s="22" t="inlineStr">
        <is>
          <t>M0229</t>
        </is>
      </c>
      <c r="B230" s="23" t="n">
        <v>46112</v>
      </c>
      <c r="C230" s="24" t="inlineStr">
        <is>
          <t>Keluar</t>
        </is>
      </c>
      <c r="D230" s="17" t="inlineStr">
        <is>
          <t>Pelbagai</t>
        </is>
      </c>
      <c r="E230" s="17" t="inlineStr"/>
      <c r="F230" s="17" t="inlineStr">
        <is>
          <t>Pelbagai</t>
        </is>
      </c>
      <c r="G230" s="15" t="n">
        <v>76</v>
      </c>
      <c r="H230" s="25">
        <f>IF(G230="","",SUMIF(C$2:C230,"Masuk",G$2:G230)-SUMIF(C$2:C230,"Keluar",G$2:G230))</f>
        <v/>
      </c>
    </row>
    <row r="231">
      <c r="A231" s="26" t="inlineStr">
        <is>
          <t>M0230</t>
        </is>
      </c>
      <c r="B231" s="27" t="n">
        <v>46113</v>
      </c>
      <c r="C231" s="28" t="inlineStr">
        <is>
          <t>Masuk</t>
        </is>
      </c>
      <c r="D231" s="29" t="inlineStr">
        <is>
          <t>Yuran Kelab</t>
        </is>
      </c>
      <c r="E231" s="29" t="inlineStr">
        <is>
          <t>Wafi</t>
        </is>
      </c>
      <c r="F231" s="29" t="inlineStr">
        <is>
          <t>Wafi (11, 12, 2, 3)</t>
        </is>
      </c>
      <c r="G231" s="30" t="n">
        <v>140</v>
      </c>
      <c r="H231" s="31">
        <f>IF(G231="","",SUMIF(C$2:C231,"Masuk",G$2:G231)-SUMIF(C$2:C231,"Keluar",G$2:G231))</f>
        <v/>
      </c>
    </row>
    <row r="232">
      <c r="A232" s="22" t="inlineStr">
        <is>
          <t>M0231</t>
        </is>
      </c>
      <c r="B232" s="23" t="n">
        <v>46113</v>
      </c>
      <c r="C232" s="24" t="inlineStr">
        <is>
          <t>Keluar</t>
        </is>
      </c>
      <c r="D232" s="17" t="inlineStr">
        <is>
          <t>Pelbagai</t>
        </is>
      </c>
      <c r="E232" s="17" t="inlineStr"/>
      <c r="F232" s="17" t="inlineStr">
        <is>
          <t>Pelbagai</t>
        </is>
      </c>
      <c r="G232" s="15" t="n">
        <v>96</v>
      </c>
      <c r="H232" s="25">
        <f>IF(G232="","",SUMIF(C$2:C232,"Masuk",G$2:G232)-SUMIF(C$2:C232,"Keluar",G$2:G232))</f>
        <v/>
      </c>
    </row>
    <row r="233">
      <c r="A233" s="26" t="inlineStr">
        <is>
          <t>M0232</t>
        </is>
      </c>
      <c r="B233" s="27" t="n">
        <v>46128</v>
      </c>
      <c r="C233" s="28" t="inlineStr">
        <is>
          <t>Masuk</t>
        </is>
      </c>
      <c r="D233" s="29" t="inlineStr">
        <is>
          <t>Yuran Kelab</t>
        </is>
      </c>
      <c r="E233" s="29" t="inlineStr">
        <is>
          <t>Boss Wan</t>
        </is>
      </c>
      <c r="F233" s="29" t="inlineStr">
        <is>
          <t>Boss Wan (5)</t>
        </is>
      </c>
      <c r="G233" s="30" t="n">
        <v>35</v>
      </c>
      <c r="H233" s="31">
        <f>IF(G233="","",SUMIF(C$2:C233,"Masuk",G$2:G233)-SUMIF(C$2:C233,"Keluar",G$2:G233))</f>
        <v/>
      </c>
    </row>
    <row r="234">
      <c r="A234" s="22" t="inlineStr">
        <is>
          <t>M0233</t>
        </is>
      </c>
      <c r="B234" s="23" t="n">
        <v>46128</v>
      </c>
      <c r="C234" s="24" t="inlineStr">
        <is>
          <t>Masuk</t>
        </is>
      </c>
      <c r="D234" s="17" t="inlineStr">
        <is>
          <t>Yuran Kelab</t>
        </is>
      </c>
      <c r="E234" s="17" t="inlineStr">
        <is>
          <t>Bang Mie</t>
        </is>
      </c>
      <c r="F234" s="17" t="inlineStr">
        <is>
          <t>Bang Mie (3)</t>
        </is>
      </c>
      <c r="G234" s="15" t="n">
        <v>35</v>
      </c>
      <c r="H234" s="25">
        <f>IF(G234="","",SUMIF(C$2:C234,"Masuk",G$2:G234)-SUMIF(C$2:C234,"Keluar",G$2:G234))</f>
        <v/>
      </c>
    </row>
    <row r="235">
      <c r="A235" s="26" t="inlineStr">
        <is>
          <t>M0234</t>
        </is>
      </c>
      <c r="B235" s="27" t="n">
        <v>46128</v>
      </c>
      <c r="C235" s="28" t="inlineStr">
        <is>
          <t>Masuk</t>
        </is>
      </c>
      <c r="D235" s="29" t="inlineStr">
        <is>
          <t>Yuran Kelab</t>
        </is>
      </c>
      <c r="E235" s="29" t="inlineStr">
        <is>
          <t>Hasnol</t>
        </is>
      </c>
      <c r="F235" s="29" t="inlineStr">
        <is>
          <t>Hasnol</t>
        </is>
      </c>
      <c r="G235" s="30" t="n">
        <v>225</v>
      </c>
      <c r="H235" s="31">
        <f>IF(G235="","",SUMIF(C$2:C235,"Masuk",G$2:G235)-SUMIF(C$2:C235,"Keluar",G$2:G235))</f>
        <v/>
      </c>
    </row>
    <row r="236">
      <c r="A236" s="22" t="inlineStr">
        <is>
          <t>M0235</t>
        </is>
      </c>
      <c r="B236" s="23" t="n">
        <v>46128</v>
      </c>
      <c r="C236" s="24" t="inlineStr">
        <is>
          <t>Masuk</t>
        </is>
      </c>
      <c r="D236" s="17" t="inlineStr">
        <is>
          <t>Yuran Kelab</t>
        </is>
      </c>
      <c r="E236" s="17" t="inlineStr">
        <is>
          <t>Aiman</t>
        </is>
      </c>
      <c r="F236" s="17" t="inlineStr">
        <is>
          <t>Aiman (3)</t>
        </is>
      </c>
      <c r="G236" s="15" t="n">
        <v>35</v>
      </c>
      <c r="H236" s="25">
        <f>IF(G236="","",SUMIF(C$2:C236,"Masuk",G$2:G236)-SUMIF(C$2:C236,"Keluar",G$2:G236))</f>
        <v/>
      </c>
    </row>
    <row r="237">
      <c r="A237" s="26" t="inlineStr">
        <is>
          <t>M0236</t>
        </is>
      </c>
      <c r="B237" s="27" t="n">
        <v>46128</v>
      </c>
      <c r="C237" s="28" t="inlineStr">
        <is>
          <t>Masuk</t>
        </is>
      </c>
      <c r="D237" s="29" t="inlineStr">
        <is>
          <t>Yuran Kelab</t>
        </is>
      </c>
      <c r="E237" s="29" t="inlineStr">
        <is>
          <t>Khairiri</t>
        </is>
      </c>
      <c r="F237" s="29" t="inlineStr">
        <is>
          <t>Khairiri (4)</t>
        </is>
      </c>
      <c r="G237" s="30" t="n">
        <v>35</v>
      </c>
      <c r="H237" s="31">
        <f>IF(G237="","",SUMIF(C$2:C237,"Masuk",G$2:G237)-SUMIF(C$2:C237,"Keluar",G$2:G237))</f>
        <v/>
      </c>
    </row>
    <row r="238">
      <c r="A238" s="22" t="inlineStr">
        <is>
          <t>M0237</t>
        </is>
      </c>
      <c r="B238" s="23" t="n">
        <v>46128</v>
      </c>
      <c r="C238" s="24" t="inlineStr">
        <is>
          <t>Masuk</t>
        </is>
      </c>
      <c r="D238" s="17" t="inlineStr">
        <is>
          <t>Yuran Kelab</t>
        </is>
      </c>
      <c r="E238" s="17" t="inlineStr">
        <is>
          <t>Hadi</t>
        </is>
      </c>
      <c r="F238" s="17" t="inlineStr">
        <is>
          <t>Hadi (4)</t>
        </is>
      </c>
      <c r="G238" s="15" t="n">
        <v>35</v>
      </c>
      <c r="H238" s="25">
        <f>IF(G238="","",SUMIF(C$2:C238,"Masuk",G$2:G238)-SUMIF(C$2:C238,"Keluar",G$2:G238))</f>
        <v/>
      </c>
    </row>
    <row r="239">
      <c r="A239" s="26" t="inlineStr">
        <is>
          <t>M0238</t>
        </is>
      </c>
      <c r="B239" s="27" t="n">
        <v>46128</v>
      </c>
      <c r="C239" s="28" t="inlineStr">
        <is>
          <t>Masuk</t>
        </is>
      </c>
      <c r="D239" s="29" t="inlineStr">
        <is>
          <t>Yuran Kelab</t>
        </is>
      </c>
      <c r="E239" s="29" t="inlineStr">
        <is>
          <t>Asnawi</t>
        </is>
      </c>
      <c r="F239" s="29" t="inlineStr">
        <is>
          <t>Asnawi (4)</t>
        </is>
      </c>
      <c r="G239" s="30" t="n">
        <v>35</v>
      </c>
      <c r="H239" s="31">
        <f>IF(G239="","",SUMIF(C$2:C239,"Masuk",G$2:G239)-SUMIF(C$2:C239,"Keluar",G$2:G239))</f>
        <v/>
      </c>
    </row>
    <row r="240">
      <c r="A240" s="22" t="inlineStr">
        <is>
          <t>M0239</t>
        </is>
      </c>
      <c r="B240" s="23" t="n">
        <v>46128</v>
      </c>
      <c r="C240" s="24" t="inlineStr">
        <is>
          <t>Masuk</t>
        </is>
      </c>
      <c r="D240" s="17" t="inlineStr">
        <is>
          <t>Yuran Kelab</t>
        </is>
      </c>
      <c r="E240" s="17" t="inlineStr">
        <is>
          <t>Chang</t>
        </is>
      </c>
      <c r="F240" s="17" t="inlineStr">
        <is>
          <t>Chang (4)</t>
        </is>
      </c>
      <c r="G240" s="15" t="n">
        <v>35</v>
      </c>
      <c r="H240" s="25">
        <f>IF(G240="","",SUMIF(C$2:C240,"Masuk",G$2:G240)-SUMIF(C$2:C240,"Keluar",G$2:G240))</f>
        <v/>
      </c>
    </row>
    <row r="241">
      <c r="A241" s="26" t="inlineStr">
        <is>
          <t>M0240</t>
        </is>
      </c>
      <c r="B241" s="27" t="n">
        <v>46129</v>
      </c>
      <c r="C241" s="28" t="inlineStr">
        <is>
          <t>Keluar</t>
        </is>
      </c>
      <c r="D241" s="29" t="inlineStr">
        <is>
          <t>Pelbagai</t>
        </is>
      </c>
      <c r="E241" s="29" t="inlineStr"/>
      <c r="F241" s="29" t="inlineStr">
        <is>
          <t>Pelbagai Asnawi</t>
        </is>
      </c>
      <c r="G241" s="30" t="n">
        <v>125</v>
      </c>
      <c r="H241" s="31">
        <f>IF(G241="","",SUMIF(C$2:C241,"Masuk",G$2:G241)-SUMIF(C$2:C241,"Keluar",G$2:G241))</f>
        <v/>
      </c>
    </row>
    <row r="242">
      <c r="A242" s="22" t="inlineStr">
        <is>
          <t>M0241</t>
        </is>
      </c>
      <c r="B242" s="23" t="n">
        <v>46130</v>
      </c>
      <c r="C242" s="24" t="inlineStr">
        <is>
          <t>Keluar</t>
        </is>
      </c>
      <c r="D242" s="17" t="inlineStr">
        <is>
          <t>Lawatan / Trip</t>
        </is>
      </c>
      <c r="E242" s="17" t="inlineStr">
        <is>
          <t>Asnawi</t>
        </is>
      </c>
      <c r="F242" s="17" t="inlineStr">
        <is>
          <t>Bayaran Lawatan Hasnol - Asnawi</t>
        </is>
      </c>
      <c r="G242" s="15" t="n">
        <v>95</v>
      </c>
      <c r="H242" s="25">
        <f>IF(G242="","",SUMIF(C$2:C242,"Masuk",G$2:G242)-SUMIF(C$2:C242,"Keluar",G$2:G242))</f>
        <v/>
      </c>
    </row>
    <row r="243">
      <c r="A243" s="26" t="inlineStr">
        <is>
          <t>M0242</t>
        </is>
      </c>
      <c r="B243" s="27" t="n">
        <v>46135</v>
      </c>
      <c r="C243" s="28" t="inlineStr">
        <is>
          <t>Masuk</t>
        </is>
      </c>
      <c r="D243" s="29" t="inlineStr">
        <is>
          <t>Yuran Kelab</t>
        </is>
      </c>
      <c r="E243" s="29" t="inlineStr">
        <is>
          <t>Joe</t>
        </is>
      </c>
      <c r="F243" s="29" t="inlineStr">
        <is>
          <t>Joe (4)</t>
        </is>
      </c>
      <c r="G243" s="30" t="n">
        <v>35</v>
      </c>
      <c r="H243" s="31">
        <f>IF(G243="","",SUMIF(C$2:C243,"Masuk",G$2:G243)-SUMIF(C$2:C243,"Keluar",G$2:G243))</f>
        <v/>
      </c>
    </row>
    <row r="244">
      <c r="A244" s="22" t="inlineStr">
        <is>
          <t>M0243</t>
        </is>
      </c>
      <c r="B244" s="23" t="n">
        <v>46136</v>
      </c>
      <c r="C244" s="24" t="inlineStr">
        <is>
          <t>Masuk</t>
        </is>
      </c>
      <c r="D244" s="17" t="inlineStr">
        <is>
          <t>Yuran Kelab</t>
        </is>
      </c>
      <c r="E244" s="17" t="inlineStr">
        <is>
          <t>Ustaz</t>
        </is>
      </c>
      <c r="F244" s="17" t="inlineStr">
        <is>
          <t>Ustaz (10, 11, 12[30])</t>
        </is>
      </c>
      <c r="G244" s="15" t="n">
        <v>100</v>
      </c>
      <c r="H244" s="25">
        <f>IF(G244="","",SUMIF(C$2:C244,"Masuk",G$2:G244)-SUMIF(C$2:C244,"Keluar",G$2:G244))</f>
        <v/>
      </c>
    </row>
    <row r="245">
      <c r="A245" s="26" t="inlineStr">
        <is>
          <t>M0244</t>
        </is>
      </c>
      <c r="B245" s="27" t="n">
        <v>46140</v>
      </c>
      <c r="C245" s="28" t="inlineStr">
        <is>
          <t>Masuk</t>
        </is>
      </c>
      <c r="D245" s="29" t="inlineStr">
        <is>
          <t>Yuran Kelab</t>
        </is>
      </c>
      <c r="E245" s="29" t="inlineStr">
        <is>
          <t>Kuchai</t>
        </is>
      </c>
      <c r="F245" s="29" t="inlineStr">
        <is>
          <t>Kuchai</t>
        </is>
      </c>
      <c r="G245" s="30" t="n">
        <v>315</v>
      </c>
      <c r="H245" s="31">
        <f>IF(G245="","",SUMIF(C$2:C245,"Masuk",G$2:G245)-SUMIF(C$2:C245,"Keluar",G$2:G245))</f>
        <v/>
      </c>
    </row>
    <row r="246">
      <c r="A246" s="22" t="inlineStr">
        <is>
          <t>M0245</t>
        </is>
      </c>
      <c r="B246" s="23" t="n">
        <v>46144</v>
      </c>
      <c r="C246" s="24" t="inlineStr">
        <is>
          <t>Keluar</t>
        </is>
      </c>
      <c r="D246" s="17" t="inlineStr">
        <is>
          <t>Lawatan / Trip</t>
        </is>
      </c>
      <c r="E246" s="17" t="inlineStr">
        <is>
          <t>Wafi</t>
        </is>
      </c>
      <c r="F246" s="17" t="inlineStr">
        <is>
          <t>Bayaran Lebih Lawatan - Wafi</t>
        </is>
      </c>
      <c r="G246" s="15" t="n">
        <v>500</v>
      </c>
      <c r="H246" s="25">
        <f>IF(G246="","",SUMIF(C$2:C246,"Masuk",G$2:G246)-SUMIF(C$2:C246,"Keluar",G$2:G246))</f>
        <v/>
      </c>
    </row>
    <row r="247">
      <c r="A247" s="26" t="inlineStr">
        <is>
          <t>M0246</t>
        </is>
      </c>
      <c r="B247" s="27" t="n">
        <v>46147</v>
      </c>
      <c r="C247" s="28" t="inlineStr">
        <is>
          <t>Keluar</t>
        </is>
      </c>
      <c r="D247" s="29" t="inlineStr">
        <is>
          <t>Majlis &amp; Hadiah</t>
        </is>
      </c>
      <c r="E247" s="29" t="inlineStr">
        <is>
          <t>Amir</t>
        </is>
      </c>
      <c r="F247" s="29" t="inlineStr">
        <is>
          <t>Hari Guru KEDAP - Amir</t>
        </is>
      </c>
      <c r="G247" s="30" t="n">
        <v>360</v>
      </c>
      <c r="H247" s="31">
        <f>IF(G247="","",SUMIF(C$2:C247,"Masuk",G$2:G247)-SUMIF(C$2:C247,"Keluar",G$2:G247))</f>
        <v/>
      </c>
    </row>
    <row r="248">
      <c r="A248" s="22" t="inlineStr">
        <is>
          <t>M0247</t>
        </is>
      </c>
      <c r="B248" s="23" t="n">
        <v>46151</v>
      </c>
      <c r="C248" s="24" t="inlineStr">
        <is>
          <t>Keluar</t>
        </is>
      </c>
      <c r="D248" s="17" t="inlineStr">
        <is>
          <t>Majlis &amp; Hadiah</t>
        </is>
      </c>
      <c r="E248" s="17" t="inlineStr">
        <is>
          <t>Amir</t>
        </is>
      </c>
      <c r="F248" s="17" t="inlineStr">
        <is>
          <t>Hari Guru - Amir</t>
        </is>
      </c>
      <c r="G248" s="15" t="n">
        <v>91</v>
      </c>
      <c r="H248" s="25">
        <f>IF(G248="","",SUMIF(C$2:C248,"Masuk",G$2:G248)-SUMIF(C$2:C248,"Keluar",G$2:G248))</f>
        <v/>
      </c>
    </row>
    <row r="249">
      <c r="A249" s="26" t="inlineStr">
        <is>
          <t>M0248</t>
        </is>
      </c>
      <c r="B249" s="27" t="n">
        <v>46158</v>
      </c>
      <c r="C249" s="28" t="inlineStr">
        <is>
          <t>Keluar</t>
        </is>
      </c>
      <c r="D249" s="29" t="inlineStr">
        <is>
          <t>Pelbagai</t>
        </is>
      </c>
      <c r="E249" s="29" t="inlineStr">
        <is>
          <t>Asnawi</t>
        </is>
      </c>
      <c r="F249" s="29" t="inlineStr">
        <is>
          <t>Pelbagai - Asnawi</t>
        </is>
      </c>
      <c r="G249" s="30" t="n">
        <v>150</v>
      </c>
      <c r="H249" s="31">
        <f>IF(G249="","",SUMIF(C$2:C249,"Masuk",G$2:G249)-SUMIF(C$2:C249,"Keluar",G$2:G249))</f>
        <v/>
      </c>
    </row>
    <row r="250">
      <c r="A250" s="22" t="inlineStr">
        <is>
          <t>M0249</t>
        </is>
      </c>
      <c r="B250" s="23" t="n">
        <v>46163</v>
      </c>
      <c r="C250" s="24" t="inlineStr">
        <is>
          <t>Masuk</t>
        </is>
      </c>
      <c r="D250" s="17" t="inlineStr">
        <is>
          <t>Yuran Kelab</t>
        </is>
      </c>
      <c r="E250" s="17" t="inlineStr">
        <is>
          <t>Bang Mie</t>
        </is>
      </c>
      <c r="F250" s="17" t="inlineStr">
        <is>
          <t>Bang Mie (4)</t>
        </is>
      </c>
      <c r="G250" s="15" t="n">
        <v>35</v>
      </c>
      <c r="H250" s="25">
        <f>IF(G250="","",SUMIF(C$2:C250,"Masuk",G$2:G250)-SUMIF(C$2:C250,"Keluar",G$2:G250))</f>
        <v/>
      </c>
    </row>
    <row r="251">
      <c r="A251" s="26" t="inlineStr">
        <is>
          <t>M0250</t>
        </is>
      </c>
      <c r="B251" s="27" t="n">
        <v>46163</v>
      </c>
      <c r="C251" s="28" t="inlineStr">
        <is>
          <t>Masuk</t>
        </is>
      </c>
      <c r="D251" s="29" t="inlineStr">
        <is>
          <t>Yuran Kelab</t>
        </is>
      </c>
      <c r="E251" s="29" t="inlineStr">
        <is>
          <t>Ustaz</t>
        </is>
      </c>
      <c r="F251" s="29" t="inlineStr">
        <is>
          <t>Ustaz (12[5], 1, 2, 4[30])</t>
        </is>
      </c>
      <c r="G251" s="30" t="n">
        <v>105</v>
      </c>
      <c r="H251" s="31">
        <f>IF(G251="","",SUMIF(C$2:C251,"Masuk",G$2:G251)-SUMIF(C$2:C251,"Keluar",G$2:G251))</f>
        <v/>
      </c>
    </row>
    <row r="252">
      <c r="A252" s="22" t="inlineStr">
        <is>
          <t>M0251</t>
        </is>
      </c>
      <c r="B252" s="23" t="n">
        <v>46164</v>
      </c>
      <c r="C252" s="24" t="inlineStr">
        <is>
          <t>Masuk</t>
        </is>
      </c>
      <c r="D252" s="17" t="inlineStr">
        <is>
          <t>Yuran Kelab</t>
        </is>
      </c>
      <c r="E252" s="17" t="inlineStr">
        <is>
          <t>Asnawi</t>
        </is>
      </c>
      <c r="F252" s="17" t="inlineStr">
        <is>
          <t>Asnawi (5)</t>
        </is>
      </c>
      <c r="G252" s="15" t="n">
        <v>35</v>
      </c>
      <c r="H252" s="25">
        <f>IF(G252="","",SUMIF(C$2:C252,"Masuk",G$2:G252)-SUMIF(C$2:C252,"Keluar",G$2:G252))</f>
        <v/>
      </c>
    </row>
    <row r="253">
      <c r="A253" s="26" t="inlineStr">
        <is>
          <t>M0252</t>
        </is>
      </c>
      <c r="B253" s="27" t="n">
        <v>46164</v>
      </c>
      <c r="C253" s="28" t="inlineStr">
        <is>
          <t>Masuk</t>
        </is>
      </c>
      <c r="D253" s="29" t="inlineStr">
        <is>
          <t>Yuran Kelab</t>
        </is>
      </c>
      <c r="E253" s="29" t="inlineStr">
        <is>
          <t>Aiman</t>
        </is>
      </c>
      <c r="F253" s="29" t="inlineStr">
        <is>
          <t>Aiman (4)</t>
        </is>
      </c>
      <c r="G253" s="30" t="n">
        <v>35</v>
      </c>
      <c r="H253" s="31">
        <f>IF(G253="","",SUMIF(C$2:C253,"Masuk",G$2:G253)-SUMIF(C$2:C253,"Keluar",G$2:G253))</f>
        <v/>
      </c>
    </row>
    <row r="254">
      <c r="A254" s="22" t="inlineStr">
        <is>
          <t>M0253</t>
        </is>
      </c>
      <c r="B254" s="23" t="n">
        <v>46164</v>
      </c>
      <c r="C254" s="24" t="inlineStr">
        <is>
          <t>Masuk</t>
        </is>
      </c>
      <c r="D254" s="17" t="inlineStr">
        <is>
          <t>Yuran Kelab</t>
        </is>
      </c>
      <c r="E254" s="17" t="inlineStr">
        <is>
          <t>Hadi</t>
        </is>
      </c>
      <c r="F254" s="17" t="inlineStr">
        <is>
          <t>Hadi (5)</t>
        </is>
      </c>
      <c r="G254" s="15" t="n">
        <v>35</v>
      </c>
      <c r="H254" s="25">
        <f>IF(G254="","",SUMIF(C$2:C254,"Masuk",G$2:G254)-SUMIF(C$2:C254,"Keluar",G$2:G254))</f>
        <v/>
      </c>
    </row>
    <row r="255">
      <c r="A255" s="26" t="inlineStr">
        <is>
          <t>M0254</t>
        </is>
      </c>
      <c r="B255" s="27" t="n">
        <v>46164</v>
      </c>
      <c r="C255" s="28" t="inlineStr">
        <is>
          <t>Keluar</t>
        </is>
      </c>
      <c r="D255" s="29" t="inlineStr">
        <is>
          <t>Duit Pantri</t>
        </is>
      </c>
      <c r="E255" s="29" t="inlineStr">
        <is>
          <t>Asnawi</t>
        </is>
      </c>
      <c r="F255" s="29" t="inlineStr">
        <is>
          <t>Bayaran Duit Pantri - Asnawi</t>
        </is>
      </c>
      <c r="G255" s="30" t="n">
        <v>60</v>
      </c>
      <c r="H255" s="31">
        <f>IF(G255="","",SUMIF(C$2:C255,"Masuk",G$2:G255)-SUMIF(C$2:C255,"Keluar",G$2:G255))</f>
        <v/>
      </c>
    </row>
    <row r="256">
      <c r="A256" s="22" t="inlineStr">
        <is>
          <t>M0255</t>
        </is>
      </c>
      <c r="B256" s="23" t="n">
        <v>46164</v>
      </c>
      <c r="C256" s="24" t="inlineStr">
        <is>
          <t>Keluar</t>
        </is>
      </c>
      <c r="D256" s="17" t="inlineStr">
        <is>
          <t>Duit Pantri</t>
        </is>
      </c>
      <c r="E256" s="17" t="inlineStr">
        <is>
          <t>Asnawi</t>
        </is>
      </c>
      <c r="F256" s="17" t="inlineStr">
        <is>
          <t>Pelbagai (Mungkin Pantri Lama) - Asnawi</t>
        </is>
      </c>
      <c r="G256" s="15" t="n">
        <v>240</v>
      </c>
      <c r="H256" s="25">
        <f>IF(G256="","",SUMIF(C$2:C256,"Masuk",G$2:G256)-SUMIF(C$2:C256,"Keluar",G$2:G256))</f>
        <v/>
      </c>
    </row>
    <row r="257">
      <c r="A257" s="26" t="inlineStr">
        <is>
          <t>M0256</t>
        </is>
      </c>
      <c r="B257" s="27" t="n">
        <v>46167</v>
      </c>
      <c r="C257" s="28" t="inlineStr">
        <is>
          <t>Masuk</t>
        </is>
      </c>
      <c r="D257" s="29" t="inlineStr">
        <is>
          <t>Yuran Kelab</t>
        </is>
      </c>
      <c r="E257" s="29" t="inlineStr">
        <is>
          <t>Chang</t>
        </is>
      </c>
      <c r="F257" s="29" t="inlineStr">
        <is>
          <t>Chang (5)</t>
        </is>
      </c>
      <c r="G257" s="30" t="n">
        <v>35</v>
      </c>
      <c r="H257" s="31">
        <f>IF(G257="","",SUMIF(C$2:C257,"Masuk",G$2:G257)-SUMIF(C$2:C257,"Keluar",G$2:G257))</f>
        <v/>
      </c>
    </row>
    <row r="258">
      <c r="A258" s="22" t="inlineStr">
        <is>
          <t>M0257</t>
        </is>
      </c>
      <c r="B258" s="23" t="n">
        <v>46198</v>
      </c>
      <c r="C258" s="24" t="inlineStr">
        <is>
          <t>Masuk</t>
        </is>
      </c>
      <c r="D258" s="17" t="inlineStr">
        <is>
          <t>Yuran Kelab</t>
        </is>
      </c>
      <c r="E258" s="17" t="inlineStr">
        <is>
          <t>Chang</t>
        </is>
      </c>
      <c r="F258" s="17" t="inlineStr">
        <is>
          <t>Chang (6)</t>
        </is>
      </c>
      <c r="G258" s="15" t="n">
        <v>35</v>
      </c>
      <c r="H258" s="25">
        <f>IF(G258="","",SUMIF(C$2:C258,"Masuk",G$2:G258)-SUMIF(C$2:C258,"Keluar",G$2:G258))</f>
        <v/>
      </c>
    </row>
    <row r="259">
      <c r="A259" s="26" t="inlineStr">
        <is>
          <t>M0258</t>
        </is>
      </c>
      <c r="B259" s="27" t="n">
        <v>46198</v>
      </c>
      <c r="C259" s="28" t="inlineStr">
        <is>
          <t>Masuk</t>
        </is>
      </c>
      <c r="D259" s="29" t="inlineStr">
        <is>
          <t>Yuran Kelab</t>
        </is>
      </c>
      <c r="E259" s="29" t="inlineStr">
        <is>
          <t>Asnawi</t>
        </is>
      </c>
      <c r="F259" s="29" t="inlineStr">
        <is>
          <t>Asnawi (6)</t>
        </is>
      </c>
      <c r="G259" s="30" t="n">
        <v>35</v>
      </c>
      <c r="H259" s="31">
        <f>IF(G259="","",SUMIF(C$2:C259,"Masuk",G$2:G259)-SUMIF(C$2:C259,"Keluar",G$2:G259))</f>
        <v/>
      </c>
    </row>
    <row r="260">
      <c r="A260" s="22" t="inlineStr">
        <is>
          <t>M0259</t>
        </is>
      </c>
      <c r="B260" s="23" t="n">
        <v>46199</v>
      </c>
      <c r="C260" s="24" t="inlineStr">
        <is>
          <t>Masuk</t>
        </is>
      </c>
      <c r="D260" s="17" t="inlineStr">
        <is>
          <t>Yuran Kelab</t>
        </is>
      </c>
      <c r="E260" s="17" t="inlineStr">
        <is>
          <t>Boss Wan</t>
        </is>
      </c>
      <c r="F260" s="17" t="inlineStr">
        <is>
          <t>Boss Wan (6)</t>
        </is>
      </c>
      <c r="G260" s="15" t="n">
        <v>35</v>
      </c>
      <c r="H260" s="25">
        <f>IF(G260="","",SUMIF(C$2:C260,"Masuk",G$2:G260)-SUMIF(C$2:C260,"Keluar",G$2:G260))</f>
        <v/>
      </c>
    </row>
    <row r="261">
      <c r="A261" s="26" t="inlineStr">
        <is>
          <t>M0260</t>
        </is>
      </c>
      <c r="B261" s="27" t="n">
        <v>46202</v>
      </c>
      <c r="C261" s="28" t="inlineStr">
        <is>
          <t>Keluar</t>
        </is>
      </c>
      <c r="D261" s="29" t="inlineStr">
        <is>
          <t>Pelbagai</t>
        </is>
      </c>
      <c r="E261" s="29" t="inlineStr"/>
      <c r="F261" s="29" t="inlineStr">
        <is>
          <t>Bayaran Filter Shopee</t>
        </is>
      </c>
      <c r="G261" s="30" t="n">
        <v>41.98</v>
      </c>
      <c r="H261" s="31">
        <f>IF(G261="","",SUMIF(C$2:C261,"Masuk",G$2:G261)-SUMIF(C$2:C261,"Keluar",G$2:G261))</f>
        <v/>
      </c>
    </row>
    <row r="262">
      <c r="A262" s="22" t="inlineStr">
        <is>
          <t>M0261</t>
        </is>
      </c>
      <c r="B262" s="23" t="n">
        <v>46202</v>
      </c>
      <c r="C262" s="24" t="inlineStr">
        <is>
          <t>Keluar</t>
        </is>
      </c>
      <c r="D262" s="17" t="inlineStr">
        <is>
          <t>Pelbagai</t>
        </is>
      </c>
      <c r="E262" s="17" t="inlineStr">
        <is>
          <t>Asnawi</t>
        </is>
      </c>
      <c r="F262" s="17" t="inlineStr">
        <is>
          <t>Pelbagai - Asnawi</t>
        </is>
      </c>
      <c r="G262" s="15" t="n">
        <v>18</v>
      </c>
      <c r="H262" s="25">
        <f>IF(G262="","",SUMIF(C$2:C262,"Masuk",G$2:G262)-SUMIF(C$2:C262,"Keluar",G$2:G262))</f>
        <v/>
      </c>
    </row>
    <row r="263">
      <c r="A263" s="26" t="inlineStr">
        <is>
          <t>M0262</t>
        </is>
      </c>
      <c r="B263" s="27" t="n">
        <v>46203</v>
      </c>
      <c r="C263" s="28" t="inlineStr">
        <is>
          <t>Masuk</t>
        </is>
      </c>
      <c r="D263" s="29" t="inlineStr">
        <is>
          <t>Yuran Kelab</t>
        </is>
      </c>
      <c r="E263" s="29" t="inlineStr">
        <is>
          <t>Joe</t>
        </is>
      </c>
      <c r="F263" s="29" t="inlineStr">
        <is>
          <t>Joe (5, 6)</t>
        </is>
      </c>
      <c r="G263" s="30" t="n">
        <v>70</v>
      </c>
      <c r="H263" s="31">
        <f>IF(G263="","",SUMIF(C$2:C263,"Masuk",G$2:G263)-SUMIF(C$2:C263,"Keluar",G$2:G263))</f>
        <v/>
      </c>
    </row>
    <row r="264">
      <c r="A264" s="22" t="inlineStr">
        <is>
          <t>M0263</t>
        </is>
      </c>
      <c r="B264" s="23" t="n">
        <v>46209</v>
      </c>
      <c r="C264" s="24" t="inlineStr">
        <is>
          <t>Masuk</t>
        </is>
      </c>
      <c r="D264" s="17" t="inlineStr">
        <is>
          <t>Yuran Kelab</t>
        </is>
      </c>
      <c r="E264" s="17" t="inlineStr">
        <is>
          <t>Bang Mie</t>
        </is>
      </c>
      <c r="F264" s="17" t="inlineStr">
        <is>
          <t>Bang Mie (5)</t>
        </is>
      </c>
      <c r="G264" s="15" t="n">
        <v>35</v>
      </c>
      <c r="H264" s="25">
        <f>IF(G264="","",SUMIF(C$2:C264,"Masuk",G$2:G264)-SUMIF(C$2:C264,"Keluar",G$2:G264))</f>
        <v/>
      </c>
    </row>
    <row r="265">
      <c r="A265" s="26" t="inlineStr">
        <is>
          <t>M0264</t>
        </is>
      </c>
      <c r="B265" s="27" t="n">
        <v>46225</v>
      </c>
      <c r="C265" s="28" t="inlineStr">
        <is>
          <t>Masuk</t>
        </is>
      </c>
      <c r="D265" s="29" t="inlineStr">
        <is>
          <t>Yuran Kelab</t>
        </is>
      </c>
      <c r="E265" s="29" t="inlineStr">
        <is>
          <t>Khairiri</t>
        </is>
      </c>
      <c r="F265" s="29" t="inlineStr">
        <is>
          <t>Khairiri (5, 6, 7)</t>
        </is>
      </c>
      <c r="G265" s="30" t="n">
        <v>105</v>
      </c>
      <c r="H265" s="31">
        <f>IF(G265="","",SUMIF(C$2:C265,"Masuk",G$2:G265)-SUMIF(C$2:C265,"Keluar",G$2:G265))</f>
        <v/>
      </c>
    </row>
    <row r="266">
      <c r="A266" s="22" t="inlineStr">
        <is>
          <t>M0265</t>
        </is>
      </c>
      <c r="B266" s="23" t="n">
        <v>46225</v>
      </c>
      <c r="C266" s="24" t="inlineStr">
        <is>
          <t>Masuk</t>
        </is>
      </c>
      <c r="D266" s="17" t="inlineStr">
        <is>
          <t>Yuran Kelab</t>
        </is>
      </c>
      <c r="E266" s="17" t="inlineStr">
        <is>
          <t>Hadi</t>
        </is>
      </c>
      <c r="F266" s="17" t="inlineStr">
        <is>
          <t>Hadi (6)</t>
        </is>
      </c>
      <c r="G266" s="15" t="n">
        <v>140</v>
      </c>
      <c r="H266" s="25">
        <f>IF(G266="","",SUMIF(C$2:C266,"Masuk",G$2:G266)-SUMIF(C$2:C266,"Keluar",G$2:G266))</f>
        <v/>
      </c>
    </row>
    <row r="267">
      <c r="A267" s="26" t="inlineStr">
        <is>
          <t>M0266</t>
        </is>
      </c>
      <c r="B267" s="27" t="n">
        <v>46226</v>
      </c>
      <c r="C267" s="28" t="inlineStr">
        <is>
          <t>Masuk</t>
        </is>
      </c>
      <c r="D267" s="29" t="inlineStr">
        <is>
          <t>Yuran Kelab</t>
        </is>
      </c>
      <c r="E267" s="29" t="inlineStr">
        <is>
          <t>Aiman</t>
        </is>
      </c>
      <c r="F267" s="29" t="inlineStr">
        <is>
          <t>Aiman (5, 6, 7)</t>
        </is>
      </c>
      <c r="G267" s="30" t="n">
        <v>105</v>
      </c>
      <c r="H267" s="31">
        <f>IF(G267="","",SUMIF(C$2:C267,"Masuk",G$2:G267)-SUMIF(C$2:C267,"Keluar",G$2:G267))</f>
        <v/>
      </c>
    </row>
    <row r="268">
      <c r="A268" s="22" t="inlineStr">
        <is>
          <t>M0267</t>
        </is>
      </c>
      <c r="B268" s="23" t="n">
        <v>46226</v>
      </c>
      <c r="C268" s="24" t="inlineStr">
        <is>
          <t>Masuk</t>
        </is>
      </c>
      <c r="D268" s="17" t="inlineStr">
        <is>
          <t>Yuran Kelab</t>
        </is>
      </c>
      <c r="E268" s="17" t="inlineStr">
        <is>
          <t>Asnawi</t>
        </is>
      </c>
      <c r="F268" s="17" t="inlineStr">
        <is>
          <t>Asnawi (7)</t>
        </is>
      </c>
      <c r="G268" s="15" t="n">
        <v>35</v>
      </c>
      <c r="H268" s="25">
        <f>IF(G268="","",SUMIF(C$2:C268,"Masuk",G$2:G268)-SUMIF(C$2:C268,"Keluar",G$2:G268))</f>
        <v/>
      </c>
    </row>
    <row r="269">
      <c r="A269" s="26" t="inlineStr">
        <is>
          <t>M0268</t>
        </is>
      </c>
      <c r="B269" s="27" t="n">
        <v>46232</v>
      </c>
      <c r="C269" s="28" t="inlineStr">
        <is>
          <t>Masuk</t>
        </is>
      </c>
      <c r="D269" s="29" t="inlineStr">
        <is>
          <t>Yuran Kelab</t>
        </is>
      </c>
      <c r="E269" s="29" t="inlineStr">
        <is>
          <t>Chang</t>
        </is>
      </c>
      <c r="F269" s="29" t="inlineStr">
        <is>
          <t>Chang (7)</t>
        </is>
      </c>
      <c r="G269" s="30" t="n">
        <v>35</v>
      </c>
      <c r="H269" s="31">
        <f>IF(G269="","",SUMIF(C$2:C269,"Masuk",G$2:G269)-SUMIF(C$2:C269,"Keluar",G$2:G269))</f>
        <v/>
      </c>
    </row>
    <row r="270">
      <c r="A270" s="22" t="inlineStr">
        <is>
          <t>M0269</t>
        </is>
      </c>
      <c r="B270" s="23" t="n">
        <v>46232</v>
      </c>
      <c r="C270" s="24" t="inlineStr">
        <is>
          <t>Masuk</t>
        </is>
      </c>
      <c r="D270" s="17" t="inlineStr">
        <is>
          <t>Yuran Kelab</t>
        </is>
      </c>
      <c r="E270" s="17" t="inlineStr">
        <is>
          <t>Bang Mie</t>
        </is>
      </c>
      <c r="F270" s="17" t="inlineStr">
        <is>
          <t>Bang Mie (6, 7, 8, 9, 10, 11)</t>
        </is>
      </c>
      <c r="G270" s="15" t="n">
        <v>210</v>
      </c>
      <c r="H270" s="25">
        <f>IF(G270="","",SUMIF(C$2:C270,"Masuk",G$2:G270)-SUMIF(C$2:C270,"Keluar",G$2:G270))</f>
        <v/>
      </c>
    </row>
    <row r="271">
      <c r="A271" s="26" t="inlineStr">
        <is>
          <t>M0270</t>
        </is>
      </c>
      <c r="B271" s="27" t="n">
        <v>46247</v>
      </c>
      <c r="C271" s="28" t="inlineStr">
        <is>
          <t>Keluar</t>
        </is>
      </c>
      <c r="D271" s="29" t="inlineStr">
        <is>
          <t>Langganan / Bahan</t>
        </is>
      </c>
      <c r="E271" s="29" t="inlineStr"/>
      <c r="F271" s="29" t="inlineStr">
        <is>
          <t>Bayaran PSKPP</t>
        </is>
      </c>
      <c r="G271" s="30" t="n">
        <v>120</v>
      </c>
      <c r="H271" s="31">
        <f>IF(G271="","",SUMIF(C$2:C271,"Masuk",G$2:G271)-SUMIF(C$2:C271,"Keluar",G$2:G271))</f>
        <v/>
      </c>
    </row>
    <row r="272">
      <c r="A272" s="22" t="inlineStr">
        <is>
          <t>M0271</t>
        </is>
      </c>
      <c r="B272" s="23" t="n">
        <v>46259</v>
      </c>
      <c r="C272" s="24" t="inlineStr">
        <is>
          <t>Masuk</t>
        </is>
      </c>
      <c r="D272" s="17" t="inlineStr">
        <is>
          <t>Yuran Kelab</t>
        </is>
      </c>
      <c r="E272" s="17" t="inlineStr">
        <is>
          <t>Joe</t>
        </is>
      </c>
      <c r="F272" s="17" t="inlineStr">
        <is>
          <t>Joe (7, 8)</t>
        </is>
      </c>
      <c r="G272" s="15" t="n">
        <v>70</v>
      </c>
      <c r="H272" s="25">
        <f>IF(G272="","",SUMIF(C$2:C272,"Masuk",G$2:G272)-SUMIF(C$2:C272,"Keluar",G$2:G272))</f>
        <v/>
      </c>
    </row>
    <row r="273">
      <c r="A273" s="26" t="inlineStr">
        <is>
          <t>M0272</t>
        </is>
      </c>
      <c r="B273" s="27" t="n">
        <v>46259</v>
      </c>
      <c r="C273" s="28" t="inlineStr">
        <is>
          <t>Keluar</t>
        </is>
      </c>
      <c r="D273" s="29" t="inlineStr">
        <is>
          <t>Pakaian</t>
        </is>
      </c>
      <c r="E273" s="29" t="inlineStr"/>
      <c r="F273" s="29" t="inlineStr">
        <is>
          <t>Baju Korporat (13 orang)</t>
        </is>
      </c>
      <c r="G273" s="30" t="n">
        <v>670</v>
      </c>
      <c r="H273" s="31">
        <f>IF(G273="","",SUMIF(C$2:C273,"Masuk",G$2:G273)-SUMIF(C$2:C273,"Keluar",G$2:G273))</f>
        <v/>
      </c>
    </row>
    <row r="274">
      <c r="A274" s="22" t="inlineStr">
        <is>
          <t>M0273</t>
        </is>
      </c>
      <c r="B274" s="23" t="n">
        <v>46260</v>
      </c>
      <c r="C274" s="24" t="inlineStr">
        <is>
          <t>Masuk</t>
        </is>
      </c>
      <c r="D274" s="17" t="inlineStr">
        <is>
          <t>Yuran Kelab</t>
        </is>
      </c>
      <c r="E274" s="17" t="inlineStr">
        <is>
          <t>Aiman</t>
        </is>
      </c>
      <c r="F274" s="17" t="inlineStr">
        <is>
          <t>Aiman (8)</t>
        </is>
      </c>
      <c r="G274" s="15" t="n">
        <v>35</v>
      </c>
      <c r="H274" s="25">
        <f>IF(G274="","",SUMIF(C$2:C274,"Masuk",G$2:G274)-SUMIF(C$2:C274,"Keluar",G$2:G274))</f>
        <v/>
      </c>
    </row>
    <row r="275">
      <c r="A275" s="26" t="inlineStr">
        <is>
          <t>M0274</t>
        </is>
      </c>
      <c r="B275" s="27" t="n">
        <v>46272</v>
      </c>
      <c r="C275" s="28" t="inlineStr">
        <is>
          <t>Masuk</t>
        </is>
      </c>
      <c r="D275" s="29" t="inlineStr">
        <is>
          <t>Yuran Kelab</t>
        </is>
      </c>
      <c r="E275" s="29" t="inlineStr">
        <is>
          <t>Ustaz</t>
        </is>
      </c>
      <c r="F275" s="29" t="inlineStr">
        <is>
          <t>Ustaz (4[5], 5, 6[20])</t>
        </is>
      </c>
      <c r="G275" s="30" t="n">
        <v>60</v>
      </c>
      <c r="H275" s="31">
        <f>IF(G275="","",SUMIF(C$2:C275,"Masuk",G$2:G275)-SUMIF(C$2:C275,"Keluar",G$2:G275))</f>
        <v/>
      </c>
    </row>
    <row r="276">
      <c r="A276" s="22" t="inlineStr">
        <is>
          <t>M0275</t>
        </is>
      </c>
      <c r="B276" s="23" t="n">
        <v>46272</v>
      </c>
      <c r="C276" s="24" t="inlineStr">
        <is>
          <t>Masuk</t>
        </is>
      </c>
      <c r="D276" s="17" t="inlineStr">
        <is>
          <t>Yuran Kelab</t>
        </is>
      </c>
      <c r="E276" s="17" t="inlineStr">
        <is>
          <t>Asnawi</t>
        </is>
      </c>
      <c r="F276" s="17" t="inlineStr">
        <is>
          <t>Asnawi (8)</t>
        </is>
      </c>
      <c r="G276" s="15" t="n">
        <v>35</v>
      </c>
      <c r="H276" s="25">
        <f>IF(G276="","",SUMIF(C$2:C276,"Masuk",G$2:G276)-SUMIF(C$2:C276,"Keluar",G$2:G276))</f>
        <v/>
      </c>
    </row>
    <row r="277">
      <c r="A277" s="26" t="inlineStr">
        <is>
          <t>M0276</t>
        </is>
      </c>
      <c r="B277" s="27" t="n">
        <v>46272</v>
      </c>
      <c r="C277" s="28" t="inlineStr">
        <is>
          <t>Keluar</t>
        </is>
      </c>
      <c r="D277" s="29" t="inlineStr">
        <is>
          <t>Duit Pantri</t>
        </is>
      </c>
      <c r="E277" s="29" t="inlineStr">
        <is>
          <t>Asnawi</t>
        </is>
      </c>
      <c r="F277" s="29" t="inlineStr">
        <is>
          <t>Bayaran Duit Pantri - Asnawi</t>
        </is>
      </c>
      <c r="G277" s="30" t="n">
        <v>60</v>
      </c>
      <c r="H277" s="31">
        <f>IF(G277="","",SUMIF(C$2:C277,"Masuk",G$2:G277)-SUMIF(C$2:C277,"Keluar",G$2:G277))</f>
        <v/>
      </c>
    </row>
    <row r="278">
      <c r="A278" s="22" t="inlineStr">
        <is>
          <t>M0277</t>
        </is>
      </c>
      <c r="B278" s="23" t="n">
        <v>46289</v>
      </c>
      <c r="C278" s="24" t="inlineStr">
        <is>
          <t>Masuk</t>
        </is>
      </c>
      <c r="D278" s="17" t="inlineStr">
        <is>
          <t>Yuran Kelab</t>
        </is>
      </c>
      <c r="E278" s="17" t="inlineStr">
        <is>
          <t>Boss Wan</t>
        </is>
      </c>
      <c r="F278" s="17" t="inlineStr">
        <is>
          <t>Boss Wan (7, 8)</t>
        </is>
      </c>
      <c r="G278" s="15" t="n">
        <v>70</v>
      </c>
      <c r="H278" s="25">
        <f>IF(G278="","",SUMIF(C$2:C278,"Masuk",G$2:G278)-SUMIF(C$2:C278,"Keluar",G$2:G278))</f>
        <v/>
      </c>
    </row>
    <row r="279">
      <c r="A279" s="26" t="inlineStr">
        <is>
          <t>M0278</t>
        </is>
      </c>
      <c r="B279" s="27" t="n">
        <v>46289</v>
      </c>
      <c r="C279" s="28" t="inlineStr">
        <is>
          <t>Masuk</t>
        </is>
      </c>
      <c r="D279" s="29" t="inlineStr">
        <is>
          <t>Yuran Kelab</t>
        </is>
      </c>
      <c r="E279" s="29" t="inlineStr">
        <is>
          <t>Chang</t>
        </is>
      </c>
      <c r="F279" s="29" t="inlineStr">
        <is>
          <t>Chang (8)</t>
        </is>
      </c>
      <c r="G279" s="30" t="n">
        <v>35</v>
      </c>
      <c r="H279" s="31">
        <f>IF(G279="","",SUMIF(C$2:C279,"Masuk",G$2:G279)-SUMIF(C$2:C279,"Keluar",G$2:G279))</f>
        <v/>
      </c>
    </row>
    <row r="280">
      <c r="A280" s="22" t="inlineStr">
        <is>
          <t>M0279</t>
        </is>
      </c>
      <c r="B280" s="23" t="n">
        <v>46290</v>
      </c>
      <c r="C280" s="24" t="inlineStr">
        <is>
          <t>Masuk</t>
        </is>
      </c>
      <c r="D280" s="17" t="inlineStr">
        <is>
          <t>Yuran Kelab</t>
        </is>
      </c>
      <c r="E280" s="17" t="inlineStr">
        <is>
          <t>Asnawi</t>
        </is>
      </c>
      <c r="F280" s="17" t="inlineStr">
        <is>
          <t>Asnawi (9)</t>
        </is>
      </c>
      <c r="G280" s="15" t="n">
        <v>35</v>
      </c>
      <c r="H280" s="25">
        <f>IF(G280="","",SUMIF(C$2:C280,"Masuk",G$2:G280)-SUMIF(C$2:C280,"Keluar",G$2:G280))</f>
        <v/>
      </c>
    </row>
    <row r="281">
      <c r="A281" s="26" t="inlineStr">
        <is>
          <t>M0280</t>
        </is>
      </c>
      <c r="B281" s="27" t="n">
        <v>46296</v>
      </c>
      <c r="C281" s="28" t="inlineStr">
        <is>
          <t>Keluar</t>
        </is>
      </c>
      <c r="D281" s="29" t="inlineStr">
        <is>
          <t>Pakaian</t>
        </is>
      </c>
      <c r="E281" s="29" t="inlineStr"/>
      <c r="F281" s="29" t="inlineStr">
        <is>
          <t>Baju Korporat Fairuz</t>
        </is>
      </c>
      <c r="G281" s="30" t="n">
        <v>60</v>
      </c>
      <c r="H281" s="31">
        <f>IF(G281="","",SUMIF(C$2:C281,"Masuk",G$2:G281)-SUMIF(C$2:C281,"Keluar",G$2:G281))</f>
        <v/>
      </c>
    </row>
    <row r="282">
      <c r="A282" s="22" t="inlineStr">
        <is>
          <t>M0281</t>
        </is>
      </c>
      <c r="B282" s="23" t="n">
        <v>46303</v>
      </c>
      <c r="C282" s="24" t="inlineStr">
        <is>
          <t>Masuk</t>
        </is>
      </c>
      <c r="D282" s="17" t="inlineStr">
        <is>
          <t>Yuran Kelab</t>
        </is>
      </c>
      <c r="E282" s="17" t="inlineStr">
        <is>
          <t>Aiman</t>
        </is>
      </c>
      <c r="F282" s="17" t="inlineStr">
        <is>
          <t>Aiman (9, 10)</t>
        </is>
      </c>
      <c r="G282" s="15" t="n">
        <v>70</v>
      </c>
      <c r="H282" s="25">
        <f>IF(G282="","",SUMIF(C$2:C282,"Masuk",G$2:G282)-SUMIF(C$2:C282,"Keluar",G$2:G282))</f>
        <v/>
      </c>
    </row>
    <row r="283">
      <c r="A283" s="26" t="inlineStr">
        <is>
          <t>M0282</t>
        </is>
      </c>
      <c r="B283" s="27" t="n">
        <v>46303</v>
      </c>
      <c r="C283" s="28" t="inlineStr">
        <is>
          <t>Masuk</t>
        </is>
      </c>
      <c r="D283" s="29" t="inlineStr">
        <is>
          <t>Yuran Kelab</t>
        </is>
      </c>
      <c r="E283" s="29" t="inlineStr">
        <is>
          <t>Joe</t>
        </is>
      </c>
      <c r="F283" s="29" t="inlineStr">
        <is>
          <t>Joe (9)</t>
        </is>
      </c>
      <c r="G283" s="30" t="n">
        <v>35</v>
      </c>
      <c r="H283" s="31">
        <f>IF(G283="","",SUMIF(C$2:C283,"Masuk",G$2:G283)-SUMIF(C$2:C283,"Keluar",G$2:G283))</f>
        <v/>
      </c>
    </row>
    <row r="284">
      <c r="A284" s="22" t="n"/>
      <c r="B284" s="23" t="n"/>
      <c r="C284" s="24" t="n"/>
      <c r="D284" s="17" t="n"/>
      <c r="E284" s="17" t="n"/>
      <c r="F284" s="17" t="n"/>
      <c r="G284" s="15" t="n"/>
      <c r="H284" s="25">
        <f>IF(G284="","",SUMIF(C$2:C284,"Masuk",G$2:G284)-SUMIF(C$2:C284,"Keluar",G$2:G284))</f>
        <v/>
      </c>
    </row>
    <row r="285">
      <c r="A285" s="26" t="n"/>
      <c r="B285" s="27" t="n"/>
      <c r="C285" s="28" t="n"/>
      <c r="D285" s="29" t="n"/>
      <c r="E285" s="29" t="n"/>
      <c r="F285" s="29" t="n"/>
      <c r="G285" s="30" t="n"/>
      <c r="H285" s="31">
        <f>IF(G285="","",SUMIF(C$2:C285,"Masuk",G$2:G285)-SUMIF(C$2:C285,"Keluar",G$2:G285))</f>
        <v/>
      </c>
    </row>
    <row r="286">
      <c r="A286" s="22" t="n"/>
      <c r="B286" s="23" t="n"/>
      <c r="C286" s="24" t="n"/>
      <c r="D286" s="17" t="n"/>
      <c r="E286" s="17" t="n"/>
      <c r="F286" s="17" t="n"/>
      <c r="G286" s="15" t="n"/>
      <c r="H286" s="25">
        <f>IF(G286="","",SUMIF(C$2:C286,"Masuk",G$2:G286)-SUMIF(C$2:C286,"Keluar",G$2:G286))</f>
        <v/>
      </c>
    </row>
    <row r="287">
      <c r="A287" s="26" t="n"/>
      <c r="B287" s="27" t="n"/>
      <c r="C287" s="28" t="n"/>
      <c r="D287" s="29" t="n"/>
      <c r="E287" s="29" t="n"/>
      <c r="F287" s="29" t="n"/>
      <c r="G287" s="30" t="n"/>
      <c r="H287" s="31">
        <f>IF(G287="","",SUMIF(C$2:C287,"Masuk",G$2:G287)-SUMIF(C$2:C287,"Keluar",G$2:G287))</f>
        <v/>
      </c>
    </row>
    <row r="288">
      <c r="A288" s="22" t="n"/>
      <c r="B288" s="23" t="n"/>
      <c r="C288" s="24" t="n"/>
      <c r="D288" s="17" t="n"/>
      <c r="E288" s="17" t="n"/>
      <c r="F288" s="17" t="n"/>
      <c r="G288" s="15" t="n"/>
      <c r="H288" s="25">
        <f>IF(G288="","",SUMIF(C$2:C288,"Masuk",G$2:G288)-SUMIF(C$2:C288,"Keluar",G$2:G288))</f>
        <v/>
      </c>
    </row>
    <row r="289">
      <c r="A289" s="26" t="n"/>
      <c r="B289" s="27" t="n"/>
      <c r="C289" s="28" t="n"/>
      <c r="D289" s="29" t="n"/>
      <c r="E289" s="29" t="n"/>
      <c r="F289" s="29" t="n"/>
      <c r="G289" s="30" t="n"/>
      <c r="H289" s="31">
        <f>IF(G289="","",SUMIF(C$2:C289,"Masuk",G$2:G289)-SUMIF(C$2:C289,"Keluar",G$2:G289))</f>
        <v/>
      </c>
    </row>
    <row r="290">
      <c r="A290" s="22" t="n"/>
      <c r="B290" s="23" t="n"/>
      <c r="C290" s="24" t="n"/>
      <c r="D290" s="17" t="n"/>
      <c r="E290" s="17" t="n"/>
      <c r="F290" s="17" t="n"/>
      <c r="G290" s="15" t="n"/>
      <c r="H290" s="25">
        <f>IF(G290="","",SUMIF(C$2:C290,"Masuk",G$2:G290)-SUMIF(C$2:C290,"Keluar",G$2:G290))</f>
        <v/>
      </c>
    </row>
    <row r="291">
      <c r="A291" s="26" t="n"/>
      <c r="B291" s="27" t="n"/>
      <c r="C291" s="28" t="n"/>
      <c r="D291" s="29" t="n"/>
      <c r="E291" s="29" t="n"/>
      <c r="F291" s="29" t="n"/>
      <c r="G291" s="30" t="n"/>
      <c r="H291" s="31">
        <f>IF(G291="","",SUMIF(C$2:C291,"Masuk",G$2:G291)-SUMIF(C$2:C291,"Keluar",G$2:G291))</f>
        <v/>
      </c>
    </row>
    <row r="292">
      <c r="A292" s="22" t="n"/>
      <c r="B292" s="23" t="n"/>
      <c r="C292" s="24" t="n"/>
      <c r="D292" s="17" t="n"/>
      <c r="E292" s="17" t="n"/>
      <c r="F292" s="17" t="n"/>
      <c r="G292" s="15" t="n"/>
      <c r="H292" s="25">
        <f>IF(G292="","",SUMIF(C$2:C292,"Masuk",G$2:G292)-SUMIF(C$2:C292,"Keluar",G$2:G292))</f>
        <v/>
      </c>
    </row>
    <row r="293">
      <c r="A293" s="26" t="n"/>
      <c r="B293" s="27" t="n"/>
      <c r="C293" s="28" t="n"/>
      <c r="D293" s="29" t="n"/>
      <c r="E293" s="29" t="n"/>
      <c r="F293" s="29" t="n"/>
      <c r="G293" s="30" t="n"/>
      <c r="H293" s="31">
        <f>IF(G293="","",SUMIF(C$2:C293,"Masuk",G$2:G293)-SUMIF(C$2:C293,"Keluar",G$2:G293))</f>
        <v/>
      </c>
    </row>
    <row r="294">
      <c r="A294" s="22" t="n"/>
      <c r="B294" s="23" t="n"/>
      <c r="C294" s="24" t="n"/>
      <c r="D294" s="17" t="n"/>
      <c r="E294" s="17" t="n"/>
      <c r="F294" s="17" t="n"/>
      <c r="G294" s="15" t="n"/>
      <c r="H294" s="25">
        <f>IF(G294="","",SUMIF(C$2:C294,"Masuk",G$2:G294)-SUMIF(C$2:C294,"Keluar",G$2:G294))</f>
        <v/>
      </c>
    </row>
    <row r="295">
      <c r="A295" s="26" t="n"/>
      <c r="B295" s="27" t="n"/>
      <c r="C295" s="28" t="n"/>
      <c r="D295" s="29" t="n"/>
      <c r="E295" s="29" t="n"/>
      <c r="F295" s="29" t="n"/>
      <c r="G295" s="30" t="n"/>
      <c r="H295" s="31">
        <f>IF(G295="","",SUMIF(C$2:C295,"Masuk",G$2:G295)-SUMIF(C$2:C295,"Keluar",G$2:G295))</f>
        <v/>
      </c>
    </row>
    <row r="296">
      <c r="A296" s="22" t="n"/>
      <c r="B296" s="23" t="n"/>
      <c r="C296" s="24" t="n"/>
      <c r="D296" s="17" t="n"/>
      <c r="E296" s="17" t="n"/>
      <c r="F296" s="17" t="n"/>
      <c r="G296" s="15" t="n"/>
      <c r="H296" s="25">
        <f>IF(G296="","",SUMIF(C$2:C296,"Masuk",G$2:G296)-SUMIF(C$2:C296,"Keluar",G$2:G296))</f>
        <v/>
      </c>
    </row>
    <row r="297">
      <c r="A297" s="26" t="n"/>
      <c r="B297" s="27" t="n"/>
      <c r="C297" s="28" t="n"/>
      <c r="D297" s="29" t="n"/>
      <c r="E297" s="29" t="n"/>
      <c r="F297" s="29" t="n"/>
      <c r="G297" s="30" t="n"/>
      <c r="H297" s="31">
        <f>IF(G297="","",SUMIF(C$2:C297,"Masuk",G$2:G297)-SUMIF(C$2:C297,"Keluar",G$2:G297))</f>
        <v/>
      </c>
    </row>
    <row r="298">
      <c r="A298" s="22" t="n"/>
      <c r="B298" s="23" t="n"/>
      <c r="C298" s="24" t="n"/>
      <c r="D298" s="17" t="n"/>
      <c r="E298" s="17" t="n"/>
      <c r="F298" s="17" t="n"/>
      <c r="G298" s="15" t="n"/>
      <c r="H298" s="25">
        <f>IF(G298="","",SUMIF(C$2:C298,"Masuk",G$2:G298)-SUMIF(C$2:C298,"Keluar",G$2:G298))</f>
        <v/>
      </c>
    </row>
    <row r="299">
      <c r="A299" s="26" t="n"/>
      <c r="B299" s="27" t="n"/>
      <c r="C299" s="28" t="n"/>
      <c r="D299" s="29" t="n"/>
      <c r="E299" s="29" t="n"/>
      <c r="F299" s="29" t="n"/>
      <c r="G299" s="30" t="n"/>
      <c r="H299" s="31">
        <f>IF(G299="","",SUMIF(C$2:C299,"Masuk",G$2:G299)-SUMIF(C$2:C299,"Keluar",G$2:G299))</f>
        <v/>
      </c>
    </row>
    <row r="300">
      <c r="A300" s="22" t="n"/>
      <c r="B300" s="23" t="n"/>
      <c r="C300" s="24" t="n"/>
      <c r="D300" s="17" t="n"/>
      <c r="E300" s="17" t="n"/>
      <c r="F300" s="17" t="n"/>
      <c r="G300" s="15" t="n"/>
      <c r="H300" s="25">
        <f>IF(G300="","",SUMIF(C$2:C300,"Masuk",G$2:G300)-SUMIF(C$2:C300,"Keluar",G$2:G300))</f>
        <v/>
      </c>
    </row>
    <row r="301">
      <c r="A301" s="26" t="n"/>
      <c r="B301" s="27" t="n"/>
      <c r="C301" s="28" t="n"/>
      <c r="D301" s="29" t="n"/>
      <c r="E301" s="29" t="n"/>
      <c r="F301" s="29" t="n"/>
      <c r="G301" s="30" t="n"/>
      <c r="H301" s="31">
        <f>IF(G301="","",SUMIF(C$2:C301,"Masuk",G$2:G301)-SUMIF(C$2:C301,"Keluar",G$2:G301))</f>
        <v/>
      </c>
    </row>
    <row r="302">
      <c r="A302" s="22" t="n"/>
      <c r="B302" s="23" t="n"/>
      <c r="C302" s="24" t="n"/>
      <c r="D302" s="17" t="n"/>
      <c r="E302" s="17" t="n"/>
      <c r="F302" s="17" t="n"/>
      <c r="G302" s="15" t="n"/>
      <c r="H302" s="25">
        <f>IF(G302="","",SUMIF(C$2:C302,"Masuk",G$2:G302)-SUMIF(C$2:C302,"Keluar",G$2:G302))</f>
        <v/>
      </c>
    </row>
    <row r="303">
      <c r="A303" s="26" t="n"/>
      <c r="B303" s="27" t="n"/>
      <c r="C303" s="28" t="n"/>
      <c r="D303" s="29" t="n"/>
      <c r="E303" s="29" t="n"/>
      <c r="F303" s="29" t="n"/>
      <c r="G303" s="30" t="n"/>
      <c r="H303" s="31">
        <f>IF(G303="","",SUMIF(C$2:C303,"Masuk",G$2:G303)-SUMIF(C$2:C303,"Keluar",G$2:G303))</f>
        <v/>
      </c>
    </row>
    <row r="304">
      <c r="A304" s="22" t="n"/>
      <c r="B304" s="23" t="n"/>
      <c r="C304" s="24" t="n"/>
      <c r="D304" s="17" t="n"/>
      <c r="E304" s="17" t="n"/>
      <c r="F304" s="17" t="n"/>
      <c r="G304" s="15" t="n"/>
      <c r="H304" s="25">
        <f>IF(G304="","",SUMIF(C$2:C304,"Masuk",G$2:G304)-SUMIF(C$2:C304,"Keluar",G$2:G304))</f>
        <v/>
      </c>
    </row>
    <row r="305">
      <c r="A305" s="26" t="n"/>
      <c r="B305" s="27" t="n"/>
      <c r="C305" s="28" t="n"/>
      <c r="D305" s="29" t="n"/>
      <c r="E305" s="29" t="n"/>
      <c r="F305" s="29" t="n"/>
      <c r="G305" s="30" t="n"/>
      <c r="H305" s="31">
        <f>IF(G305="","",SUMIF(C$2:C305,"Masuk",G$2:G305)-SUMIF(C$2:C305,"Keluar",G$2:G305))</f>
        <v/>
      </c>
    </row>
    <row r="306">
      <c r="A306" s="22" t="n"/>
      <c r="B306" s="23" t="n"/>
      <c r="C306" s="24" t="n"/>
      <c r="D306" s="17" t="n"/>
      <c r="E306" s="17" t="n"/>
      <c r="F306" s="17" t="n"/>
      <c r="G306" s="15" t="n"/>
      <c r="H306" s="25">
        <f>IF(G306="","",SUMIF(C$2:C306,"Masuk",G$2:G306)-SUMIF(C$2:C306,"Keluar",G$2:G306))</f>
        <v/>
      </c>
    </row>
    <row r="307">
      <c r="A307" s="26" t="n"/>
      <c r="B307" s="27" t="n"/>
      <c r="C307" s="28" t="n"/>
      <c r="D307" s="29" t="n"/>
      <c r="E307" s="29" t="n"/>
      <c r="F307" s="29" t="n"/>
      <c r="G307" s="30" t="n"/>
      <c r="H307" s="31">
        <f>IF(G307="","",SUMIF(C$2:C307,"Masuk",G$2:G307)-SUMIF(C$2:C307,"Keluar",G$2:G307))</f>
        <v/>
      </c>
    </row>
    <row r="308">
      <c r="A308" s="22" t="n"/>
      <c r="B308" s="23" t="n"/>
      <c r="C308" s="24" t="n"/>
      <c r="D308" s="17" t="n"/>
      <c r="E308" s="17" t="n"/>
      <c r="F308" s="17" t="n"/>
      <c r="G308" s="15" t="n"/>
      <c r="H308" s="25">
        <f>IF(G308="","",SUMIF(C$2:C308,"Masuk",G$2:G308)-SUMIF(C$2:C308,"Keluar",G$2:G308))</f>
        <v/>
      </c>
    </row>
    <row r="309">
      <c r="A309" s="26" t="n"/>
      <c r="B309" s="27" t="n"/>
      <c r="C309" s="28" t="n"/>
      <c r="D309" s="29" t="n"/>
      <c r="E309" s="29" t="n"/>
      <c r="F309" s="29" t="n"/>
      <c r="G309" s="30" t="n"/>
      <c r="H309" s="31">
        <f>IF(G309="","",SUMIF(C$2:C309,"Masuk",G$2:G309)-SUMIF(C$2:C309,"Keluar",G$2:G309))</f>
        <v/>
      </c>
    </row>
    <row r="310">
      <c r="A310" s="22" t="n"/>
      <c r="B310" s="23" t="n"/>
      <c r="C310" s="24" t="n"/>
      <c r="D310" s="17" t="n"/>
      <c r="E310" s="17" t="n"/>
      <c r="F310" s="17" t="n"/>
      <c r="G310" s="15" t="n"/>
      <c r="H310" s="25">
        <f>IF(G310="","",SUMIF(C$2:C310,"Masuk",G$2:G310)-SUMIF(C$2:C310,"Keluar",G$2:G310))</f>
        <v/>
      </c>
    </row>
    <row r="311">
      <c r="A311" s="26" t="n"/>
      <c r="B311" s="27" t="n"/>
      <c r="C311" s="28" t="n"/>
      <c r="D311" s="29" t="n"/>
      <c r="E311" s="29" t="n"/>
      <c r="F311" s="29" t="n"/>
      <c r="G311" s="30" t="n"/>
      <c r="H311" s="31">
        <f>IF(G311="","",SUMIF(C$2:C311,"Masuk",G$2:G311)-SUMIF(C$2:C311,"Keluar",G$2:G311))</f>
        <v/>
      </c>
    </row>
    <row r="312">
      <c r="A312" s="22" t="n"/>
      <c r="B312" s="23" t="n"/>
      <c r="C312" s="24" t="n"/>
      <c r="D312" s="17" t="n"/>
      <c r="E312" s="17" t="n"/>
      <c r="F312" s="17" t="n"/>
      <c r="G312" s="15" t="n"/>
      <c r="H312" s="25">
        <f>IF(G312="","",SUMIF(C$2:C312,"Masuk",G$2:G312)-SUMIF(C$2:C312,"Keluar",G$2:G312))</f>
        <v/>
      </c>
    </row>
    <row r="313">
      <c r="A313" s="26" t="n"/>
      <c r="B313" s="27" t="n"/>
      <c r="C313" s="28" t="n"/>
      <c r="D313" s="29" t="n"/>
      <c r="E313" s="29" t="n"/>
      <c r="F313" s="29" t="n"/>
      <c r="G313" s="30" t="n"/>
      <c r="H313" s="31">
        <f>IF(G313="","",SUMIF(C$2:C313,"Masuk",G$2:G313)-SUMIF(C$2:C313,"Keluar",G$2:G313))</f>
        <v/>
      </c>
    </row>
    <row r="314">
      <c r="A314" s="22" t="n"/>
      <c r="B314" s="23" t="n"/>
      <c r="C314" s="24" t="n"/>
      <c r="D314" s="17" t="n"/>
      <c r="E314" s="17" t="n"/>
      <c r="F314" s="17" t="n"/>
      <c r="G314" s="15" t="n"/>
      <c r="H314" s="25">
        <f>IF(G314="","",SUMIF(C$2:C314,"Masuk",G$2:G314)-SUMIF(C$2:C314,"Keluar",G$2:G314))</f>
        <v/>
      </c>
    </row>
    <row r="315">
      <c r="A315" s="26" t="n"/>
      <c r="B315" s="27" t="n"/>
      <c r="C315" s="28" t="n"/>
      <c r="D315" s="29" t="n"/>
      <c r="E315" s="29" t="n"/>
      <c r="F315" s="29" t="n"/>
      <c r="G315" s="30" t="n"/>
      <c r="H315" s="31">
        <f>IF(G315="","",SUMIF(C$2:C315,"Masuk",G$2:G315)-SUMIF(C$2:C315,"Keluar",G$2:G315))</f>
        <v/>
      </c>
    </row>
    <row r="316">
      <c r="A316" s="22" t="n"/>
      <c r="B316" s="23" t="n"/>
      <c r="C316" s="24" t="n"/>
      <c r="D316" s="17" t="n"/>
      <c r="E316" s="17" t="n"/>
      <c r="F316" s="17" t="n"/>
      <c r="G316" s="15" t="n"/>
      <c r="H316" s="25">
        <f>IF(G316="","",SUMIF(C$2:C316,"Masuk",G$2:G316)-SUMIF(C$2:C316,"Keluar",G$2:G316))</f>
        <v/>
      </c>
    </row>
    <row r="317">
      <c r="A317" s="26" t="n"/>
      <c r="B317" s="27" t="n"/>
      <c r="C317" s="28" t="n"/>
      <c r="D317" s="29" t="n"/>
      <c r="E317" s="29" t="n"/>
      <c r="F317" s="29" t="n"/>
      <c r="G317" s="30" t="n"/>
      <c r="H317" s="31">
        <f>IF(G317="","",SUMIF(C$2:C317,"Masuk",G$2:G317)-SUMIF(C$2:C317,"Keluar",G$2:G317))</f>
        <v/>
      </c>
    </row>
    <row r="318">
      <c r="A318" s="22" t="n"/>
      <c r="B318" s="23" t="n"/>
      <c r="C318" s="24" t="n"/>
      <c r="D318" s="17" t="n"/>
      <c r="E318" s="17" t="n"/>
      <c r="F318" s="17" t="n"/>
      <c r="G318" s="15" t="n"/>
      <c r="H318" s="25">
        <f>IF(G318="","",SUMIF(C$2:C318,"Masuk",G$2:G318)-SUMIF(C$2:C318,"Keluar",G$2:G318))</f>
        <v/>
      </c>
    </row>
    <row r="319">
      <c r="A319" s="26" t="n"/>
      <c r="B319" s="27" t="n"/>
      <c r="C319" s="28" t="n"/>
      <c r="D319" s="29" t="n"/>
      <c r="E319" s="29" t="n"/>
      <c r="F319" s="29" t="n"/>
      <c r="G319" s="30" t="n"/>
      <c r="H319" s="31">
        <f>IF(G319="","",SUMIF(C$2:C319,"Masuk",G$2:G319)-SUMIF(C$2:C319,"Keluar",G$2:G319))</f>
        <v/>
      </c>
    </row>
    <row r="320">
      <c r="A320" s="22" t="n"/>
      <c r="B320" s="23" t="n"/>
      <c r="C320" s="24" t="n"/>
      <c r="D320" s="17" t="n"/>
      <c r="E320" s="17" t="n"/>
      <c r="F320" s="17" t="n"/>
      <c r="G320" s="15" t="n"/>
      <c r="H320" s="25">
        <f>IF(G320="","",SUMIF(C$2:C320,"Masuk",G$2:G320)-SUMIF(C$2:C320,"Keluar",G$2:G320))</f>
        <v/>
      </c>
    </row>
    <row r="321">
      <c r="A321" s="26" t="n"/>
      <c r="B321" s="27" t="n"/>
      <c r="C321" s="28" t="n"/>
      <c r="D321" s="29" t="n"/>
      <c r="E321" s="29" t="n"/>
      <c r="F321" s="29" t="n"/>
      <c r="G321" s="30" t="n"/>
      <c r="H321" s="31">
        <f>IF(G321="","",SUMIF(C$2:C321,"Masuk",G$2:G321)-SUMIF(C$2:C321,"Keluar",G$2:G321))</f>
        <v/>
      </c>
    </row>
    <row r="322">
      <c r="A322" s="22" t="n"/>
      <c r="B322" s="23" t="n"/>
      <c r="C322" s="24" t="n"/>
      <c r="D322" s="17" t="n"/>
      <c r="E322" s="17" t="n"/>
      <c r="F322" s="17" t="n"/>
      <c r="G322" s="15" t="n"/>
      <c r="H322" s="25">
        <f>IF(G322="","",SUMIF(C$2:C322,"Masuk",G$2:G322)-SUMIF(C$2:C322,"Keluar",G$2:G322))</f>
        <v/>
      </c>
    </row>
    <row r="323">
      <c r="A323" s="26" t="n"/>
      <c r="B323" s="27" t="n"/>
      <c r="C323" s="28" t="n"/>
      <c r="D323" s="29" t="n"/>
      <c r="E323" s="29" t="n"/>
      <c r="F323" s="29" t="n"/>
      <c r="G323" s="30" t="n"/>
      <c r="H323" s="31">
        <f>IF(G323="","",SUMIF(C$2:C323,"Masuk",G$2:G323)-SUMIF(C$2:C323,"Keluar",G$2:G323))</f>
        <v/>
      </c>
    </row>
    <row r="324">
      <c r="A324" s="22" t="n"/>
      <c r="B324" s="23" t="n"/>
      <c r="C324" s="24" t="n"/>
      <c r="D324" s="17" t="n"/>
      <c r="E324" s="17" t="n"/>
      <c r="F324" s="17" t="n"/>
      <c r="G324" s="15" t="n"/>
      <c r="H324" s="25">
        <f>IF(G324="","",SUMIF(C$2:C324,"Masuk",G$2:G324)-SUMIF(C$2:C324,"Keluar",G$2:G324))</f>
        <v/>
      </c>
    </row>
    <row r="325">
      <c r="A325" s="26" t="n"/>
      <c r="B325" s="27" t="n"/>
      <c r="C325" s="28" t="n"/>
      <c r="D325" s="29" t="n"/>
      <c r="E325" s="29" t="n"/>
      <c r="F325" s="29" t="n"/>
      <c r="G325" s="30" t="n"/>
      <c r="H325" s="31">
        <f>IF(G325="","",SUMIF(C$2:C325,"Masuk",G$2:G325)-SUMIF(C$2:C325,"Keluar",G$2:G325))</f>
        <v/>
      </c>
    </row>
    <row r="326">
      <c r="A326" s="22" t="n"/>
      <c r="B326" s="23" t="n"/>
      <c r="C326" s="24" t="n"/>
      <c r="D326" s="17" t="n"/>
      <c r="E326" s="17" t="n"/>
      <c r="F326" s="17" t="n"/>
      <c r="G326" s="15" t="n"/>
      <c r="H326" s="25">
        <f>IF(G326="","",SUMIF(C$2:C326,"Masuk",G$2:G326)-SUMIF(C$2:C326,"Keluar",G$2:G326))</f>
        <v/>
      </c>
    </row>
    <row r="327">
      <c r="A327" s="26" t="n"/>
      <c r="B327" s="27" t="n"/>
      <c r="C327" s="28" t="n"/>
      <c r="D327" s="29" t="n"/>
      <c r="E327" s="29" t="n"/>
      <c r="F327" s="29" t="n"/>
      <c r="G327" s="30" t="n"/>
      <c r="H327" s="31">
        <f>IF(G327="","",SUMIF(C$2:C327,"Masuk",G$2:G327)-SUMIF(C$2:C327,"Keluar",G$2:G327))</f>
        <v/>
      </c>
    </row>
    <row r="328">
      <c r="A328" s="22" t="n"/>
      <c r="B328" s="23" t="n"/>
      <c r="C328" s="24" t="n"/>
      <c r="D328" s="17" t="n"/>
      <c r="E328" s="17" t="n"/>
      <c r="F328" s="17" t="n"/>
      <c r="G328" s="15" t="n"/>
      <c r="H328" s="25">
        <f>IF(G328="","",SUMIF(C$2:C328,"Masuk",G$2:G328)-SUMIF(C$2:C328,"Keluar",G$2:G328))</f>
        <v/>
      </c>
    </row>
    <row r="329">
      <c r="A329" s="26" t="n"/>
      <c r="B329" s="27" t="n"/>
      <c r="C329" s="28" t="n"/>
      <c r="D329" s="29" t="n"/>
      <c r="E329" s="29" t="n"/>
      <c r="F329" s="29" t="n"/>
      <c r="G329" s="30" t="n"/>
      <c r="H329" s="31">
        <f>IF(G329="","",SUMIF(C$2:C329,"Masuk",G$2:G329)-SUMIF(C$2:C329,"Keluar",G$2:G329))</f>
        <v/>
      </c>
    </row>
    <row r="330">
      <c r="A330" s="22" t="n"/>
      <c r="B330" s="23" t="n"/>
      <c r="C330" s="24" t="n"/>
      <c r="D330" s="17" t="n"/>
      <c r="E330" s="17" t="n"/>
      <c r="F330" s="17" t="n"/>
      <c r="G330" s="15" t="n"/>
      <c r="H330" s="25">
        <f>IF(G330="","",SUMIF(C$2:C330,"Masuk",G$2:G330)-SUMIF(C$2:C330,"Keluar",G$2:G330))</f>
        <v/>
      </c>
    </row>
    <row r="331">
      <c r="A331" s="26" t="n"/>
      <c r="B331" s="27" t="n"/>
      <c r="C331" s="28" t="n"/>
      <c r="D331" s="29" t="n"/>
      <c r="E331" s="29" t="n"/>
      <c r="F331" s="29" t="n"/>
      <c r="G331" s="30" t="n"/>
      <c r="H331" s="31">
        <f>IF(G331="","",SUMIF(C$2:C331,"Masuk",G$2:G331)-SUMIF(C$2:C331,"Keluar",G$2:G331))</f>
        <v/>
      </c>
    </row>
    <row r="332">
      <c r="A332" s="22" t="n"/>
      <c r="B332" s="23" t="n"/>
      <c r="C332" s="24" t="n"/>
      <c r="D332" s="17" t="n"/>
      <c r="E332" s="17" t="n"/>
      <c r="F332" s="17" t="n"/>
      <c r="G332" s="15" t="n"/>
      <c r="H332" s="25">
        <f>IF(G332="","",SUMIF(C$2:C332,"Masuk",G$2:G332)-SUMIF(C$2:C332,"Keluar",G$2:G332))</f>
        <v/>
      </c>
    </row>
    <row r="333">
      <c r="A333" s="26" t="n"/>
      <c r="B333" s="27" t="n"/>
      <c r="C333" s="28" t="n"/>
      <c r="D333" s="29" t="n"/>
      <c r="E333" s="29" t="n"/>
      <c r="F333" s="29" t="n"/>
      <c r="G333" s="30" t="n"/>
      <c r="H333" s="31">
        <f>IF(G333="","",SUMIF(C$2:C333,"Masuk",G$2:G333)-SUMIF(C$2:C333,"Keluar",G$2:G333))</f>
        <v/>
      </c>
    </row>
    <row r="334">
      <c r="A334" s="22" t="n"/>
      <c r="B334" s="23" t="n"/>
      <c r="C334" s="24" t="n"/>
      <c r="D334" s="17" t="n"/>
      <c r="E334" s="17" t="n"/>
      <c r="F334" s="17" t="n"/>
      <c r="G334" s="15" t="n"/>
      <c r="H334" s="25">
        <f>IF(G334="","",SUMIF(C$2:C334,"Masuk",G$2:G334)-SUMIF(C$2:C334,"Keluar",G$2:G334))</f>
        <v/>
      </c>
    </row>
    <row r="335">
      <c r="A335" s="26" t="n"/>
      <c r="B335" s="27" t="n"/>
      <c r="C335" s="28" t="n"/>
      <c r="D335" s="29" t="n"/>
      <c r="E335" s="29" t="n"/>
      <c r="F335" s="29" t="n"/>
      <c r="G335" s="30" t="n"/>
      <c r="H335" s="31">
        <f>IF(G335="","",SUMIF(C$2:C335,"Masuk",G$2:G335)-SUMIF(C$2:C335,"Keluar",G$2:G335))</f>
        <v/>
      </c>
    </row>
    <row r="336">
      <c r="A336" s="22" t="n"/>
      <c r="B336" s="23" t="n"/>
      <c r="C336" s="24" t="n"/>
      <c r="D336" s="17" t="n"/>
      <c r="E336" s="17" t="n"/>
      <c r="F336" s="17" t="n"/>
      <c r="G336" s="15" t="n"/>
      <c r="H336" s="25">
        <f>IF(G336="","",SUMIF(C$2:C336,"Masuk",G$2:G336)-SUMIF(C$2:C336,"Keluar",G$2:G336))</f>
        <v/>
      </c>
    </row>
    <row r="337">
      <c r="A337" s="26" t="n"/>
      <c r="B337" s="27" t="n"/>
      <c r="C337" s="28" t="n"/>
      <c r="D337" s="29" t="n"/>
      <c r="E337" s="29" t="n"/>
      <c r="F337" s="29" t="n"/>
      <c r="G337" s="30" t="n"/>
      <c r="H337" s="31">
        <f>IF(G337="","",SUMIF(C$2:C337,"Masuk",G$2:G337)-SUMIF(C$2:C337,"Keluar",G$2:G337))</f>
        <v/>
      </c>
    </row>
    <row r="338">
      <c r="A338" s="22" t="n"/>
      <c r="B338" s="23" t="n"/>
      <c r="C338" s="24" t="n"/>
      <c r="D338" s="17" t="n"/>
      <c r="E338" s="17" t="n"/>
      <c r="F338" s="17" t="n"/>
      <c r="G338" s="15" t="n"/>
      <c r="H338" s="25">
        <f>IF(G338="","",SUMIF(C$2:C338,"Masuk",G$2:G338)-SUMIF(C$2:C338,"Keluar",G$2:G338))</f>
        <v/>
      </c>
    </row>
    <row r="339">
      <c r="A339" s="26" t="n"/>
      <c r="B339" s="27" t="n"/>
      <c r="C339" s="28" t="n"/>
      <c r="D339" s="29" t="n"/>
      <c r="E339" s="29" t="n"/>
      <c r="F339" s="29" t="n"/>
      <c r="G339" s="30" t="n"/>
      <c r="H339" s="31">
        <f>IF(G339="","",SUMIF(C$2:C339,"Masuk",G$2:G339)-SUMIF(C$2:C339,"Keluar",G$2:G339))</f>
        <v/>
      </c>
    </row>
    <row r="340">
      <c r="A340" s="22" t="n"/>
      <c r="B340" s="23" t="n"/>
      <c r="C340" s="24" t="n"/>
      <c r="D340" s="17" t="n"/>
      <c r="E340" s="17" t="n"/>
      <c r="F340" s="17" t="n"/>
      <c r="G340" s="15" t="n"/>
      <c r="H340" s="25">
        <f>IF(G340="","",SUMIF(C$2:C340,"Masuk",G$2:G340)-SUMIF(C$2:C340,"Keluar",G$2:G340))</f>
        <v/>
      </c>
    </row>
    <row r="341">
      <c r="A341" s="26" t="n"/>
      <c r="B341" s="27" t="n"/>
      <c r="C341" s="28" t="n"/>
      <c r="D341" s="29" t="n"/>
      <c r="E341" s="29" t="n"/>
      <c r="F341" s="29" t="n"/>
      <c r="G341" s="30" t="n"/>
      <c r="H341" s="31">
        <f>IF(G341="","",SUMIF(C$2:C341,"Masuk",G$2:G341)-SUMIF(C$2:C341,"Keluar",G$2:G341))</f>
        <v/>
      </c>
    </row>
    <row r="342">
      <c r="A342" s="22" t="n"/>
      <c r="B342" s="23" t="n"/>
      <c r="C342" s="24" t="n"/>
      <c r="D342" s="17" t="n"/>
      <c r="E342" s="17" t="n"/>
      <c r="F342" s="17" t="n"/>
      <c r="G342" s="15" t="n"/>
      <c r="H342" s="25">
        <f>IF(G342="","",SUMIF(C$2:C342,"Masuk",G$2:G342)-SUMIF(C$2:C342,"Keluar",G$2:G342))</f>
        <v/>
      </c>
    </row>
    <row r="343">
      <c r="A343" s="26" t="n"/>
      <c r="B343" s="27" t="n"/>
      <c r="C343" s="28" t="n"/>
      <c r="D343" s="29" t="n"/>
      <c r="E343" s="29" t="n"/>
      <c r="F343" s="29" t="n"/>
      <c r="G343" s="30" t="n"/>
      <c r="H343" s="31">
        <f>IF(G343="","",SUMIF(C$2:C343,"Masuk",G$2:G343)-SUMIF(C$2:C343,"Keluar",G$2:G343))</f>
        <v/>
      </c>
    </row>
    <row r="344">
      <c r="A344" s="22" t="n"/>
      <c r="B344" s="23" t="n"/>
      <c r="C344" s="24" t="n"/>
      <c r="D344" s="17" t="n"/>
      <c r="E344" s="17" t="n"/>
      <c r="F344" s="17" t="n"/>
      <c r="G344" s="15" t="n"/>
      <c r="H344" s="25">
        <f>IF(G344="","",SUMIF(C$2:C344,"Masuk",G$2:G344)-SUMIF(C$2:C344,"Keluar",G$2:G344))</f>
        <v/>
      </c>
    </row>
    <row r="345">
      <c r="A345" s="26" t="n"/>
      <c r="B345" s="27" t="n"/>
      <c r="C345" s="28" t="n"/>
      <c r="D345" s="29" t="n"/>
      <c r="E345" s="29" t="n"/>
      <c r="F345" s="29" t="n"/>
      <c r="G345" s="30" t="n"/>
      <c r="H345" s="31">
        <f>IF(G345="","",SUMIF(C$2:C345,"Masuk",G$2:G345)-SUMIF(C$2:C345,"Keluar",G$2:G345))</f>
        <v/>
      </c>
    </row>
    <row r="346">
      <c r="A346" s="22" t="n"/>
      <c r="B346" s="23" t="n"/>
      <c r="C346" s="24" t="n"/>
      <c r="D346" s="17" t="n"/>
      <c r="E346" s="17" t="n"/>
      <c r="F346" s="17" t="n"/>
      <c r="G346" s="15" t="n"/>
      <c r="H346" s="25">
        <f>IF(G346="","",SUMIF(C$2:C346,"Masuk",G$2:G346)-SUMIF(C$2:C346,"Keluar",G$2:G346))</f>
        <v/>
      </c>
    </row>
    <row r="347">
      <c r="A347" s="26" t="n"/>
      <c r="B347" s="27" t="n"/>
      <c r="C347" s="28" t="n"/>
      <c r="D347" s="29" t="n"/>
      <c r="E347" s="29" t="n"/>
      <c r="F347" s="29" t="n"/>
      <c r="G347" s="30" t="n"/>
      <c r="H347" s="31">
        <f>IF(G347="","",SUMIF(C$2:C347,"Masuk",G$2:G347)-SUMIF(C$2:C347,"Keluar",G$2:G347))</f>
        <v/>
      </c>
    </row>
    <row r="348">
      <c r="A348" s="22" t="n"/>
      <c r="B348" s="23" t="n"/>
      <c r="C348" s="24" t="n"/>
      <c r="D348" s="17" t="n"/>
      <c r="E348" s="17" t="n"/>
      <c r="F348" s="17" t="n"/>
      <c r="G348" s="15" t="n"/>
      <c r="H348" s="25">
        <f>IF(G348="","",SUMIF(C$2:C348,"Masuk",G$2:G348)-SUMIF(C$2:C348,"Keluar",G$2:G348))</f>
        <v/>
      </c>
    </row>
    <row r="349">
      <c r="A349" s="26" t="n"/>
      <c r="B349" s="27" t="n"/>
      <c r="C349" s="28" t="n"/>
      <c r="D349" s="29" t="n"/>
      <c r="E349" s="29" t="n"/>
      <c r="F349" s="29" t="n"/>
      <c r="G349" s="30" t="n"/>
      <c r="H349" s="31">
        <f>IF(G349="","",SUMIF(C$2:C349,"Masuk",G$2:G349)-SUMIF(C$2:C349,"Keluar",G$2:G349))</f>
        <v/>
      </c>
    </row>
    <row r="350">
      <c r="A350" s="22" t="n"/>
      <c r="B350" s="23" t="n"/>
      <c r="C350" s="24" t="n"/>
      <c r="D350" s="17" t="n"/>
      <c r="E350" s="17" t="n"/>
      <c r="F350" s="17" t="n"/>
      <c r="G350" s="15" t="n"/>
      <c r="H350" s="25">
        <f>IF(G350="","",SUMIF(C$2:C350,"Masuk",G$2:G350)-SUMIF(C$2:C350,"Keluar",G$2:G350))</f>
        <v/>
      </c>
    </row>
    <row r="351">
      <c r="A351" s="26" t="n"/>
      <c r="B351" s="27" t="n"/>
      <c r="C351" s="28" t="n"/>
      <c r="D351" s="29" t="n"/>
      <c r="E351" s="29" t="n"/>
      <c r="F351" s="29" t="n"/>
      <c r="G351" s="30" t="n"/>
      <c r="H351" s="31">
        <f>IF(G351="","",SUMIF(C$2:C351,"Masuk",G$2:G351)-SUMIF(C$2:C351,"Keluar",G$2:G351))</f>
        <v/>
      </c>
    </row>
    <row r="352">
      <c r="A352" s="22" t="n"/>
      <c r="B352" s="23" t="n"/>
      <c r="C352" s="24" t="n"/>
      <c r="D352" s="17" t="n"/>
      <c r="E352" s="17" t="n"/>
      <c r="F352" s="17" t="n"/>
      <c r="G352" s="15" t="n"/>
      <c r="H352" s="25">
        <f>IF(G352="","",SUMIF(C$2:C352,"Masuk",G$2:G352)-SUMIF(C$2:C352,"Keluar",G$2:G352))</f>
        <v/>
      </c>
    </row>
    <row r="353">
      <c r="A353" s="26" t="n"/>
      <c r="B353" s="27" t="n"/>
      <c r="C353" s="28" t="n"/>
      <c r="D353" s="29" t="n"/>
      <c r="E353" s="29" t="n"/>
      <c r="F353" s="29" t="n"/>
      <c r="G353" s="30" t="n"/>
      <c r="H353" s="31">
        <f>IF(G353="","",SUMIF(C$2:C353,"Masuk",G$2:G353)-SUMIF(C$2:C353,"Keluar",G$2:G353))</f>
        <v/>
      </c>
    </row>
    <row r="354">
      <c r="A354" s="22" t="n"/>
      <c r="B354" s="23" t="n"/>
      <c r="C354" s="24" t="n"/>
      <c r="D354" s="17" t="n"/>
      <c r="E354" s="17" t="n"/>
      <c r="F354" s="17" t="n"/>
      <c r="G354" s="15" t="n"/>
      <c r="H354" s="25">
        <f>IF(G354="","",SUMIF(C$2:C354,"Masuk",G$2:G354)-SUMIF(C$2:C354,"Keluar",G$2:G354))</f>
        <v/>
      </c>
    </row>
    <row r="355">
      <c r="A355" s="26" t="n"/>
      <c r="B355" s="27" t="n"/>
      <c r="C355" s="28" t="n"/>
      <c r="D355" s="29" t="n"/>
      <c r="E355" s="29" t="n"/>
      <c r="F355" s="29" t="n"/>
      <c r="G355" s="30" t="n"/>
      <c r="H355" s="31">
        <f>IF(G355="","",SUMIF(C$2:C355,"Masuk",G$2:G355)-SUMIF(C$2:C355,"Keluar",G$2:G355))</f>
        <v/>
      </c>
    </row>
    <row r="356">
      <c r="A356" s="22" t="n"/>
      <c r="B356" s="23" t="n"/>
      <c r="C356" s="24" t="n"/>
      <c r="D356" s="17" t="n"/>
      <c r="E356" s="17" t="n"/>
      <c r="F356" s="17" t="n"/>
      <c r="G356" s="15" t="n"/>
      <c r="H356" s="25">
        <f>IF(G356="","",SUMIF(C$2:C356,"Masuk",G$2:G356)-SUMIF(C$2:C356,"Keluar",G$2:G356))</f>
        <v/>
      </c>
    </row>
    <row r="357">
      <c r="A357" s="26" t="n"/>
      <c r="B357" s="27" t="n"/>
      <c r="C357" s="28" t="n"/>
      <c r="D357" s="29" t="n"/>
      <c r="E357" s="29" t="n"/>
      <c r="F357" s="29" t="n"/>
      <c r="G357" s="30" t="n"/>
      <c r="H357" s="31">
        <f>IF(G357="","",SUMIF(C$2:C357,"Masuk",G$2:G357)-SUMIF(C$2:C357,"Keluar",G$2:G357))</f>
        <v/>
      </c>
    </row>
    <row r="358">
      <c r="A358" s="22" t="n"/>
      <c r="B358" s="23" t="n"/>
      <c r="C358" s="24" t="n"/>
      <c r="D358" s="17" t="n"/>
      <c r="E358" s="17" t="n"/>
      <c r="F358" s="17" t="n"/>
      <c r="G358" s="15" t="n"/>
      <c r="H358" s="25">
        <f>IF(G358="","",SUMIF(C$2:C358,"Masuk",G$2:G358)-SUMIF(C$2:C358,"Keluar",G$2:G358))</f>
        <v/>
      </c>
    </row>
    <row r="359">
      <c r="A359" s="26" t="n"/>
      <c r="B359" s="27" t="n"/>
      <c r="C359" s="28" t="n"/>
      <c r="D359" s="29" t="n"/>
      <c r="E359" s="29" t="n"/>
      <c r="F359" s="29" t="n"/>
      <c r="G359" s="30" t="n"/>
      <c r="H359" s="31">
        <f>IF(G359="","",SUMIF(C$2:C359,"Masuk",G$2:G359)-SUMIF(C$2:C359,"Keluar",G$2:G359))</f>
        <v/>
      </c>
    </row>
    <row r="360">
      <c r="A360" s="22" t="n"/>
      <c r="B360" s="23" t="n"/>
      <c r="C360" s="24" t="n"/>
      <c r="D360" s="17" t="n"/>
      <c r="E360" s="17" t="n"/>
      <c r="F360" s="17" t="n"/>
      <c r="G360" s="15" t="n"/>
      <c r="H360" s="25">
        <f>IF(G360="","",SUMIF(C$2:C360,"Masuk",G$2:G360)-SUMIF(C$2:C360,"Keluar",G$2:G360))</f>
        <v/>
      </c>
    </row>
    <row r="361">
      <c r="A361" s="26" t="n"/>
      <c r="B361" s="27" t="n"/>
      <c r="C361" s="28" t="n"/>
      <c r="D361" s="29" t="n"/>
      <c r="E361" s="29" t="n"/>
      <c r="F361" s="29" t="n"/>
      <c r="G361" s="30" t="n"/>
      <c r="H361" s="31">
        <f>IF(G361="","",SUMIF(C$2:C361,"Masuk",G$2:G361)-SUMIF(C$2:C361,"Keluar",G$2:G361))</f>
        <v/>
      </c>
    </row>
    <row r="362">
      <c r="A362" s="22" t="n"/>
      <c r="B362" s="23" t="n"/>
      <c r="C362" s="24" t="n"/>
      <c r="D362" s="17" t="n"/>
      <c r="E362" s="17" t="n"/>
      <c r="F362" s="17" t="n"/>
      <c r="G362" s="15" t="n"/>
      <c r="H362" s="25">
        <f>IF(G362="","",SUMIF(C$2:C362,"Masuk",G$2:G362)-SUMIF(C$2:C362,"Keluar",G$2:G362))</f>
        <v/>
      </c>
    </row>
    <row r="363">
      <c r="A363" s="26" t="n"/>
      <c r="B363" s="27" t="n"/>
      <c r="C363" s="28" t="n"/>
      <c r="D363" s="29" t="n"/>
      <c r="E363" s="29" t="n"/>
      <c r="F363" s="29" t="n"/>
      <c r="G363" s="30" t="n"/>
      <c r="H363" s="31">
        <f>IF(G363="","",SUMIF(C$2:C363,"Masuk",G$2:G363)-SUMIF(C$2:C363,"Keluar",G$2:G363))</f>
        <v/>
      </c>
    </row>
    <row r="364">
      <c r="A364" s="22" t="n"/>
      <c r="B364" s="23" t="n"/>
      <c r="C364" s="24" t="n"/>
      <c r="D364" s="17" t="n"/>
      <c r="E364" s="17" t="n"/>
      <c r="F364" s="17" t="n"/>
      <c r="G364" s="15" t="n"/>
      <c r="H364" s="25">
        <f>IF(G364="","",SUMIF(C$2:C364,"Masuk",G$2:G364)-SUMIF(C$2:C364,"Keluar",G$2:G364))</f>
        <v/>
      </c>
    </row>
    <row r="365">
      <c r="A365" s="26" t="n"/>
      <c r="B365" s="27" t="n"/>
      <c r="C365" s="28" t="n"/>
      <c r="D365" s="29" t="n"/>
      <c r="E365" s="29" t="n"/>
      <c r="F365" s="29" t="n"/>
      <c r="G365" s="30" t="n"/>
      <c r="H365" s="31">
        <f>IF(G365="","",SUMIF(C$2:C365,"Masuk",G$2:G365)-SUMIF(C$2:C365,"Keluar",G$2:G365))</f>
        <v/>
      </c>
    </row>
    <row r="366">
      <c r="A366" s="22" t="n"/>
      <c r="B366" s="23" t="n"/>
      <c r="C366" s="24" t="n"/>
      <c r="D366" s="17" t="n"/>
      <c r="E366" s="17" t="n"/>
      <c r="F366" s="17" t="n"/>
      <c r="G366" s="15" t="n"/>
      <c r="H366" s="25">
        <f>IF(G366="","",SUMIF(C$2:C366,"Masuk",G$2:G366)-SUMIF(C$2:C366,"Keluar",G$2:G366))</f>
        <v/>
      </c>
    </row>
    <row r="367">
      <c r="A367" s="26" t="n"/>
      <c r="B367" s="27" t="n"/>
      <c r="C367" s="28" t="n"/>
      <c r="D367" s="29" t="n"/>
      <c r="E367" s="29" t="n"/>
      <c r="F367" s="29" t="n"/>
      <c r="G367" s="30" t="n"/>
      <c r="H367" s="31">
        <f>IF(G367="","",SUMIF(C$2:C367,"Masuk",G$2:G367)-SUMIF(C$2:C367,"Keluar",G$2:G367))</f>
        <v/>
      </c>
    </row>
    <row r="368">
      <c r="A368" s="22" t="n"/>
      <c r="B368" s="23" t="n"/>
      <c r="C368" s="24" t="n"/>
      <c r="D368" s="17" t="n"/>
      <c r="E368" s="17" t="n"/>
      <c r="F368" s="17" t="n"/>
      <c r="G368" s="15" t="n"/>
      <c r="H368" s="25">
        <f>IF(G368="","",SUMIF(C$2:C368,"Masuk",G$2:G368)-SUMIF(C$2:C368,"Keluar",G$2:G368))</f>
        <v/>
      </c>
    </row>
    <row r="369">
      <c r="A369" s="26" t="n"/>
      <c r="B369" s="27" t="n"/>
      <c r="C369" s="28" t="n"/>
      <c r="D369" s="29" t="n"/>
      <c r="E369" s="29" t="n"/>
      <c r="F369" s="29" t="n"/>
      <c r="G369" s="30" t="n"/>
      <c r="H369" s="31">
        <f>IF(G369="","",SUMIF(C$2:C369,"Masuk",G$2:G369)-SUMIF(C$2:C369,"Keluar",G$2:G369))</f>
        <v/>
      </c>
    </row>
    <row r="370">
      <c r="A370" s="22" t="n"/>
      <c r="B370" s="23" t="n"/>
      <c r="C370" s="24" t="n"/>
      <c r="D370" s="17" t="n"/>
      <c r="E370" s="17" t="n"/>
      <c r="F370" s="17" t="n"/>
      <c r="G370" s="15" t="n"/>
      <c r="H370" s="25">
        <f>IF(G370="","",SUMIF(C$2:C370,"Masuk",G$2:G370)-SUMIF(C$2:C370,"Keluar",G$2:G370))</f>
        <v/>
      </c>
    </row>
    <row r="371">
      <c r="A371" s="26" t="n"/>
      <c r="B371" s="27" t="n"/>
      <c r="C371" s="28" t="n"/>
      <c r="D371" s="29" t="n"/>
      <c r="E371" s="29" t="n"/>
      <c r="F371" s="29" t="n"/>
      <c r="G371" s="30" t="n"/>
      <c r="H371" s="31">
        <f>IF(G371="","",SUMIF(C$2:C371,"Masuk",G$2:G371)-SUMIF(C$2:C371,"Keluar",G$2:G371))</f>
        <v/>
      </c>
    </row>
    <row r="372">
      <c r="A372" s="22" t="n"/>
      <c r="B372" s="23" t="n"/>
      <c r="C372" s="24" t="n"/>
      <c r="D372" s="17" t="n"/>
      <c r="E372" s="17" t="n"/>
      <c r="F372" s="17" t="n"/>
      <c r="G372" s="15" t="n"/>
      <c r="H372" s="25">
        <f>IF(G372="","",SUMIF(C$2:C372,"Masuk",G$2:G372)-SUMIF(C$2:C372,"Keluar",G$2:G372))</f>
        <v/>
      </c>
    </row>
    <row r="373">
      <c r="A373" s="26" t="n"/>
      <c r="B373" s="27" t="n"/>
      <c r="C373" s="28" t="n"/>
      <c r="D373" s="29" t="n"/>
      <c r="E373" s="29" t="n"/>
      <c r="F373" s="29" t="n"/>
      <c r="G373" s="30" t="n"/>
      <c r="H373" s="31">
        <f>IF(G373="","",SUMIF(C$2:C373,"Masuk",G$2:G373)-SUMIF(C$2:C373,"Keluar",G$2:G373))</f>
        <v/>
      </c>
    </row>
    <row r="374">
      <c r="A374" s="22" t="n"/>
      <c r="B374" s="23" t="n"/>
      <c r="C374" s="24" t="n"/>
      <c r="D374" s="17" t="n"/>
      <c r="E374" s="17" t="n"/>
      <c r="F374" s="17" t="n"/>
      <c r="G374" s="15" t="n"/>
      <c r="H374" s="25">
        <f>IF(G374="","",SUMIF(C$2:C374,"Masuk",G$2:G374)-SUMIF(C$2:C374,"Keluar",G$2:G374))</f>
        <v/>
      </c>
    </row>
    <row r="375">
      <c r="A375" s="26" t="n"/>
      <c r="B375" s="27" t="n"/>
      <c r="C375" s="28" t="n"/>
      <c r="D375" s="29" t="n"/>
      <c r="E375" s="29" t="n"/>
      <c r="F375" s="29" t="n"/>
      <c r="G375" s="30" t="n"/>
      <c r="H375" s="31">
        <f>IF(G375="","",SUMIF(C$2:C375,"Masuk",G$2:G375)-SUMIF(C$2:C375,"Keluar",G$2:G375))</f>
        <v/>
      </c>
    </row>
    <row r="376">
      <c r="A376" s="22" t="n"/>
      <c r="B376" s="23" t="n"/>
      <c r="C376" s="24" t="n"/>
      <c r="D376" s="17" t="n"/>
      <c r="E376" s="17" t="n"/>
      <c r="F376" s="17" t="n"/>
      <c r="G376" s="15" t="n"/>
      <c r="H376" s="25">
        <f>IF(G376="","",SUMIF(C$2:C376,"Masuk",G$2:G376)-SUMIF(C$2:C376,"Keluar",G$2:G376))</f>
        <v/>
      </c>
    </row>
    <row r="377">
      <c r="A377" s="26" t="n"/>
      <c r="B377" s="27" t="n"/>
      <c r="C377" s="28" t="n"/>
      <c r="D377" s="29" t="n"/>
      <c r="E377" s="29" t="n"/>
      <c r="F377" s="29" t="n"/>
      <c r="G377" s="30" t="n"/>
      <c r="H377" s="31">
        <f>IF(G377="","",SUMIF(C$2:C377,"Masuk",G$2:G377)-SUMIF(C$2:C377,"Keluar",G$2:G377))</f>
        <v/>
      </c>
    </row>
    <row r="378">
      <c r="A378" s="22" t="n"/>
      <c r="B378" s="23" t="n"/>
      <c r="C378" s="24" t="n"/>
      <c r="D378" s="17" t="n"/>
      <c r="E378" s="17" t="n"/>
      <c r="F378" s="17" t="n"/>
      <c r="G378" s="15" t="n"/>
      <c r="H378" s="25">
        <f>IF(G378="","",SUMIF(C$2:C378,"Masuk",G$2:G378)-SUMIF(C$2:C378,"Keluar",G$2:G378))</f>
        <v/>
      </c>
    </row>
    <row r="379">
      <c r="A379" s="26" t="n"/>
      <c r="B379" s="27" t="n"/>
      <c r="C379" s="28" t="n"/>
      <c r="D379" s="29" t="n"/>
      <c r="E379" s="29" t="n"/>
      <c r="F379" s="29" t="n"/>
      <c r="G379" s="30" t="n"/>
      <c r="H379" s="31">
        <f>IF(G379="","",SUMIF(C$2:C379,"Masuk",G$2:G379)-SUMIF(C$2:C379,"Keluar",G$2:G379))</f>
        <v/>
      </c>
    </row>
    <row r="380">
      <c r="A380" s="22" t="n"/>
      <c r="B380" s="23" t="n"/>
      <c r="C380" s="24" t="n"/>
      <c r="D380" s="17" t="n"/>
      <c r="E380" s="17" t="n"/>
      <c r="F380" s="17" t="n"/>
      <c r="G380" s="15" t="n"/>
      <c r="H380" s="25">
        <f>IF(G380="","",SUMIF(C$2:C380,"Masuk",G$2:G380)-SUMIF(C$2:C380,"Keluar",G$2:G380))</f>
        <v/>
      </c>
    </row>
    <row r="381">
      <c r="A381" s="26" t="n"/>
      <c r="B381" s="27" t="n"/>
      <c r="C381" s="28" t="n"/>
      <c r="D381" s="29" t="n"/>
      <c r="E381" s="29" t="n"/>
      <c r="F381" s="29" t="n"/>
      <c r="G381" s="30" t="n"/>
      <c r="H381" s="31">
        <f>IF(G381="","",SUMIF(C$2:C381,"Masuk",G$2:G381)-SUMIF(C$2:C381,"Keluar",G$2:G381))</f>
        <v/>
      </c>
    </row>
    <row r="382">
      <c r="A382" s="22" t="n"/>
      <c r="B382" s="23" t="n"/>
      <c r="C382" s="24" t="n"/>
      <c r="D382" s="17" t="n"/>
      <c r="E382" s="17" t="n"/>
      <c r="F382" s="17" t="n"/>
      <c r="G382" s="15" t="n"/>
      <c r="H382" s="25">
        <f>IF(G382="","",SUMIF(C$2:C382,"Masuk",G$2:G382)-SUMIF(C$2:C382,"Keluar",G$2:G382))</f>
        <v/>
      </c>
    </row>
    <row r="383">
      <c r="A383" s="26" t="n"/>
      <c r="B383" s="27" t="n"/>
      <c r="C383" s="28" t="n"/>
      <c r="D383" s="29" t="n"/>
      <c r="E383" s="29" t="n"/>
      <c r="F383" s="29" t="n"/>
      <c r="G383" s="30" t="n"/>
      <c r="H383" s="31">
        <f>IF(G383="","",SUMIF(C$2:C383,"Masuk",G$2:G383)-SUMIF(C$2:C383,"Keluar",G$2:G383))</f>
        <v/>
      </c>
    </row>
    <row r="384">
      <c r="A384" s="22" t="n"/>
      <c r="B384" s="23" t="n"/>
      <c r="C384" s="24" t="n"/>
      <c r="D384" s="17" t="n"/>
      <c r="E384" s="17" t="n"/>
      <c r="F384" s="17" t="n"/>
      <c r="G384" s="15" t="n"/>
      <c r="H384" s="25">
        <f>IF(G384="","",SUMIF(C$2:C384,"Masuk",G$2:G384)-SUMIF(C$2:C384,"Keluar",G$2:G384))</f>
        <v/>
      </c>
    </row>
    <row r="385">
      <c r="A385" s="26" t="n"/>
      <c r="B385" s="27" t="n"/>
      <c r="C385" s="28" t="n"/>
      <c r="D385" s="29" t="n"/>
      <c r="E385" s="29" t="n"/>
      <c r="F385" s="29" t="n"/>
      <c r="G385" s="30" t="n"/>
      <c r="H385" s="31">
        <f>IF(G385="","",SUMIF(C$2:C385,"Masuk",G$2:G385)-SUMIF(C$2:C385,"Keluar",G$2:G385))</f>
        <v/>
      </c>
    </row>
    <row r="386">
      <c r="A386" s="22" t="n"/>
      <c r="B386" s="23" t="n"/>
      <c r="C386" s="24" t="n"/>
      <c r="D386" s="17" t="n"/>
      <c r="E386" s="17" t="n"/>
      <c r="F386" s="17" t="n"/>
      <c r="G386" s="15" t="n"/>
      <c r="H386" s="25">
        <f>IF(G386="","",SUMIF(C$2:C386,"Masuk",G$2:G386)-SUMIF(C$2:C386,"Keluar",G$2:G386))</f>
        <v/>
      </c>
    </row>
    <row r="387">
      <c r="A387" s="26" t="n"/>
      <c r="B387" s="27" t="n"/>
      <c r="C387" s="28" t="n"/>
      <c r="D387" s="29" t="n"/>
      <c r="E387" s="29" t="n"/>
      <c r="F387" s="29" t="n"/>
      <c r="G387" s="30" t="n"/>
      <c r="H387" s="31">
        <f>IF(G387="","",SUMIF(C$2:C387,"Masuk",G$2:G387)-SUMIF(C$2:C387,"Keluar",G$2:G387))</f>
        <v/>
      </c>
    </row>
    <row r="388">
      <c r="A388" s="22" t="n"/>
      <c r="B388" s="23" t="n"/>
      <c r="C388" s="24" t="n"/>
      <c r="D388" s="17" t="n"/>
      <c r="E388" s="17" t="n"/>
      <c r="F388" s="17" t="n"/>
      <c r="G388" s="15" t="n"/>
      <c r="H388" s="25">
        <f>IF(G388="","",SUMIF(C$2:C388,"Masuk",G$2:G388)-SUMIF(C$2:C388,"Keluar",G$2:G388))</f>
        <v/>
      </c>
    </row>
    <row r="389">
      <c r="A389" s="26" t="n"/>
      <c r="B389" s="27" t="n"/>
      <c r="C389" s="28" t="n"/>
      <c r="D389" s="29" t="n"/>
      <c r="E389" s="29" t="n"/>
      <c r="F389" s="29" t="n"/>
      <c r="G389" s="30" t="n"/>
      <c r="H389" s="31">
        <f>IF(G389="","",SUMIF(C$2:C389,"Masuk",G$2:G389)-SUMIF(C$2:C389,"Keluar",G$2:G389))</f>
        <v/>
      </c>
    </row>
    <row r="390">
      <c r="A390" s="22" t="n"/>
      <c r="B390" s="23" t="n"/>
      <c r="C390" s="24" t="n"/>
      <c r="D390" s="17" t="n"/>
      <c r="E390" s="17" t="n"/>
      <c r="F390" s="17" t="n"/>
      <c r="G390" s="15" t="n"/>
      <c r="H390" s="25">
        <f>IF(G390="","",SUMIF(C$2:C390,"Masuk",G$2:G390)-SUMIF(C$2:C390,"Keluar",G$2:G390))</f>
        <v/>
      </c>
    </row>
    <row r="391">
      <c r="A391" s="26" t="n"/>
      <c r="B391" s="27" t="n"/>
      <c r="C391" s="28" t="n"/>
      <c r="D391" s="29" t="n"/>
      <c r="E391" s="29" t="n"/>
      <c r="F391" s="29" t="n"/>
      <c r="G391" s="30" t="n"/>
      <c r="H391" s="31">
        <f>IF(G391="","",SUMIF(C$2:C391,"Masuk",G$2:G391)-SUMIF(C$2:C391,"Keluar",G$2:G391))</f>
        <v/>
      </c>
    </row>
    <row r="392">
      <c r="A392" s="22" t="n"/>
      <c r="B392" s="23" t="n"/>
      <c r="C392" s="24" t="n"/>
      <c r="D392" s="17" t="n"/>
      <c r="E392" s="17" t="n"/>
      <c r="F392" s="17" t="n"/>
      <c r="G392" s="15" t="n"/>
      <c r="H392" s="25">
        <f>IF(G392="","",SUMIF(C$2:C392,"Masuk",G$2:G392)-SUMIF(C$2:C392,"Keluar",G$2:G392))</f>
        <v/>
      </c>
    </row>
    <row r="393">
      <c r="A393" s="26" t="n"/>
      <c r="B393" s="27" t="n"/>
      <c r="C393" s="28" t="n"/>
      <c r="D393" s="29" t="n"/>
      <c r="E393" s="29" t="n"/>
      <c r="F393" s="29" t="n"/>
      <c r="G393" s="30" t="n"/>
      <c r="H393" s="31">
        <f>IF(G393="","",SUMIF(C$2:C393,"Masuk",G$2:G393)-SUMIF(C$2:C393,"Keluar",G$2:G393))</f>
        <v/>
      </c>
    </row>
    <row r="394">
      <c r="A394" s="22" t="n"/>
      <c r="B394" s="23" t="n"/>
      <c r="C394" s="24" t="n"/>
      <c r="D394" s="17" t="n"/>
      <c r="E394" s="17" t="n"/>
      <c r="F394" s="17" t="n"/>
      <c r="G394" s="15" t="n"/>
      <c r="H394" s="25">
        <f>IF(G394="","",SUMIF(C$2:C394,"Masuk",G$2:G394)-SUMIF(C$2:C394,"Keluar",G$2:G394))</f>
        <v/>
      </c>
    </row>
    <row r="395">
      <c r="A395" s="26" t="n"/>
      <c r="B395" s="27" t="n"/>
      <c r="C395" s="28" t="n"/>
      <c r="D395" s="29" t="n"/>
      <c r="E395" s="29" t="n"/>
      <c r="F395" s="29" t="n"/>
      <c r="G395" s="30" t="n"/>
      <c r="H395" s="31">
        <f>IF(G395="","",SUMIF(C$2:C395,"Masuk",G$2:G395)-SUMIF(C$2:C395,"Keluar",G$2:G395))</f>
        <v/>
      </c>
    </row>
    <row r="396">
      <c r="A396" s="22" t="n"/>
      <c r="B396" s="23" t="n"/>
      <c r="C396" s="24" t="n"/>
      <c r="D396" s="17" t="n"/>
      <c r="E396" s="17" t="n"/>
      <c r="F396" s="17" t="n"/>
      <c r="G396" s="15" t="n"/>
      <c r="H396" s="25">
        <f>IF(G396="","",SUMIF(C$2:C396,"Masuk",G$2:G396)-SUMIF(C$2:C396,"Keluar",G$2:G396))</f>
        <v/>
      </c>
    </row>
    <row r="397">
      <c r="A397" s="26" t="n"/>
      <c r="B397" s="27" t="n"/>
      <c r="C397" s="28" t="n"/>
      <c r="D397" s="29" t="n"/>
      <c r="E397" s="29" t="n"/>
      <c r="F397" s="29" t="n"/>
      <c r="G397" s="30" t="n"/>
      <c r="H397" s="31">
        <f>IF(G397="","",SUMIF(C$2:C397,"Masuk",G$2:G397)-SUMIF(C$2:C397,"Keluar",G$2:G397))</f>
        <v/>
      </c>
    </row>
    <row r="398">
      <c r="A398" s="22" t="n"/>
      <c r="B398" s="23" t="n"/>
      <c r="C398" s="24" t="n"/>
      <c r="D398" s="17" t="n"/>
      <c r="E398" s="17" t="n"/>
      <c r="F398" s="17" t="n"/>
      <c r="G398" s="15" t="n"/>
      <c r="H398" s="25">
        <f>IF(G398="","",SUMIF(C$2:C398,"Masuk",G$2:G398)-SUMIF(C$2:C398,"Keluar",G$2:G398))</f>
        <v/>
      </c>
    </row>
    <row r="399">
      <c r="A399" s="26" t="n"/>
      <c r="B399" s="27" t="n"/>
      <c r="C399" s="28" t="n"/>
      <c r="D399" s="29" t="n"/>
      <c r="E399" s="29" t="n"/>
      <c r="F399" s="29" t="n"/>
      <c r="G399" s="30" t="n"/>
      <c r="H399" s="31">
        <f>IF(G399="","",SUMIF(C$2:C399,"Masuk",G$2:G399)-SUMIF(C$2:C399,"Keluar",G$2:G399))</f>
        <v/>
      </c>
    </row>
    <row r="400">
      <c r="A400" s="22" t="n"/>
      <c r="B400" s="23" t="n"/>
      <c r="C400" s="24" t="n"/>
      <c r="D400" s="17" t="n"/>
      <c r="E400" s="17" t="n"/>
      <c r="F400" s="17" t="n"/>
      <c r="G400" s="15" t="n"/>
      <c r="H400" s="25">
        <f>IF(G400="","",SUMIF(C$2:C400,"Masuk",G$2:G400)-SUMIF(C$2:C400,"Keluar",G$2:G400))</f>
        <v/>
      </c>
    </row>
    <row r="401">
      <c r="A401" s="26" t="n"/>
      <c r="B401" s="27" t="n"/>
      <c r="C401" s="28" t="n"/>
      <c r="D401" s="29" t="n"/>
      <c r="E401" s="29" t="n"/>
      <c r="F401" s="29" t="n"/>
      <c r="G401" s="30" t="n"/>
      <c r="H401" s="31">
        <f>IF(G401="","",SUMIF(C$2:C401,"Masuk",G$2:G401)-SUMIF(C$2:C401,"Keluar",G$2:G401))</f>
        <v/>
      </c>
    </row>
    <row r="402">
      <c r="A402" s="22" t="n"/>
      <c r="B402" s="23" t="n"/>
      <c r="C402" s="24" t="n"/>
      <c r="D402" s="17" t="n"/>
      <c r="E402" s="17" t="n"/>
      <c r="F402" s="17" t="n"/>
      <c r="G402" s="15" t="n"/>
      <c r="H402" s="25">
        <f>IF(G402="","",SUMIF(C$2:C402,"Masuk",G$2:G402)-SUMIF(C$2:C402,"Keluar",G$2:G402))</f>
        <v/>
      </c>
    </row>
    <row r="403">
      <c r="A403" s="26" t="n"/>
      <c r="B403" s="27" t="n"/>
      <c r="C403" s="28" t="n"/>
      <c r="D403" s="29" t="n"/>
      <c r="E403" s="29" t="n"/>
      <c r="F403" s="29" t="n"/>
      <c r="G403" s="30" t="n"/>
      <c r="H403" s="31">
        <f>IF(G403="","",SUMIF(C$2:C403,"Masuk",G$2:G403)-SUMIF(C$2:C403,"Keluar",G$2:G403))</f>
        <v/>
      </c>
    </row>
    <row r="404">
      <c r="A404" s="22" t="n"/>
      <c r="B404" s="23" t="n"/>
      <c r="C404" s="24" t="n"/>
      <c r="D404" s="17" t="n"/>
      <c r="E404" s="17" t="n"/>
      <c r="F404" s="17" t="n"/>
      <c r="G404" s="15" t="n"/>
      <c r="H404" s="25">
        <f>IF(G404="","",SUMIF(C$2:C404,"Masuk",G$2:G404)-SUMIF(C$2:C404,"Keluar",G$2:G404))</f>
        <v/>
      </c>
    </row>
    <row r="405">
      <c r="A405" s="26" t="n"/>
      <c r="B405" s="27" t="n"/>
      <c r="C405" s="28" t="n"/>
      <c r="D405" s="29" t="n"/>
      <c r="E405" s="29" t="n"/>
      <c r="F405" s="29" t="n"/>
      <c r="G405" s="30" t="n"/>
      <c r="H405" s="31">
        <f>IF(G405="","",SUMIF(C$2:C405,"Masuk",G$2:G405)-SUMIF(C$2:C405,"Keluar",G$2:G405))</f>
        <v/>
      </c>
    </row>
    <row r="406">
      <c r="A406" s="22" t="n"/>
      <c r="B406" s="23" t="n"/>
      <c r="C406" s="24" t="n"/>
      <c r="D406" s="17" t="n"/>
      <c r="E406" s="17" t="n"/>
      <c r="F406" s="17" t="n"/>
      <c r="G406" s="15" t="n"/>
      <c r="H406" s="25">
        <f>IF(G406="","",SUMIF(C$2:C406,"Masuk",G$2:G406)-SUMIF(C$2:C406,"Keluar",G$2:G406))</f>
        <v/>
      </c>
    </row>
    <row r="407">
      <c r="A407" s="26" t="n"/>
      <c r="B407" s="27" t="n"/>
      <c r="C407" s="28" t="n"/>
      <c r="D407" s="29" t="n"/>
      <c r="E407" s="29" t="n"/>
      <c r="F407" s="29" t="n"/>
      <c r="G407" s="30" t="n"/>
      <c r="H407" s="31">
        <f>IF(G407="","",SUMIF(C$2:C407,"Masuk",G$2:G407)-SUMIF(C$2:C407,"Keluar",G$2:G407))</f>
        <v/>
      </c>
    </row>
    <row r="408">
      <c r="A408" s="22" t="n"/>
      <c r="B408" s="23" t="n"/>
      <c r="C408" s="24" t="n"/>
      <c r="D408" s="17" t="n"/>
      <c r="E408" s="17" t="n"/>
      <c r="F408" s="17" t="n"/>
      <c r="G408" s="15" t="n"/>
      <c r="H408" s="25">
        <f>IF(G408="","",SUMIF(C$2:C408,"Masuk",G$2:G408)-SUMIF(C$2:C408,"Keluar",G$2:G408))</f>
        <v/>
      </c>
    </row>
    <row r="409">
      <c r="A409" s="26" t="n"/>
      <c r="B409" s="27" t="n"/>
      <c r="C409" s="28" t="n"/>
      <c r="D409" s="29" t="n"/>
      <c r="E409" s="29" t="n"/>
      <c r="F409" s="29" t="n"/>
      <c r="G409" s="30" t="n"/>
      <c r="H409" s="31">
        <f>IF(G409="","",SUMIF(C$2:C409,"Masuk",G$2:G409)-SUMIF(C$2:C409,"Keluar",G$2:G409))</f>
        <v/>
      </c>
    </row>
    <row r="410">
      <c r="A410" s="22" t="n"/>
      <c r="B410" s="23" t="n"/>
      <c r="C410" s="24" t="n"/>
      <c r="D410" s="17" t="n"/>
      <c r="E410" s="17" t="n"/>
      <c r="F410" s="17" t="n"/>
      <c r="G410" s="15" t="n"/>
      <c r="H410" s="25">
        <f>IF(G410="","",SUMIF(C$2:C410,"Masuk",G$2:G410)-SUMIF(C$2:C410,"Keluar",G$2:G410))</f>
        <v/>
      </c>
    </row>
    <row r="411">
      <c r="A411" s="26" t="n"/>
      <c r="B411" s="27" t="n"/>
      <c r="C411" s="28" t="n"/>
      <c r="D411" s="29" t="n"/>
      <c r="E411" s="29" t="n"/>
      <c r="F411" s="29" t="n"/>
      <c r="G411" s="30" t="n"/>
      <c r="H411" s="31">
        <f>IF(G411="","",SUMIF(C$2:C411,"Masuk",G$2:G411)-SUMIF(C$2:C411,"Keluar",G$2:G411))</f>
        <v/>
      </c>
    </row>
    <row r="412">
      <c r="A412" s="22" t="n"/>
      <c r="B412" s="23" t="n"/>
      <c r="C412" s="24" t="n"/>
      <c r="D412" s="17" t="n"/>
      <c r="E412" s="17" t="n"/>
      <c r="F412" s="17" t="n"/>
      <c r="G412" s="15" t="n"/>
      <c r="H412" s="25">
        <f>IF(G412="","",SUMIF(C$2:C412,"Masuk",G$2:G412)-SUMIF(C$2:C412,"Keluar",G$2:G412))</f>
        <v/>
      </c>
    </row>
    <row r="413">
      <c r="A413" s="26" t="n"/>
      <c r="B413" s="27" t="n"/>
      <c r="C413" s="28" t="n"/>
      <c r="D413" s="29" t="n"/>
      <c r="E413" s="29" t="n"/>
      <c r="F413" s="29" t="n"/>
      <c r="G413" s="30" t="n"/>
      <c r="H413" s="31">
        <f>IF(G413="","",SUMIF(C$2:C413,"Masuk",G$2:G413)-SUMIF(C$2:C413,"Keluar",G$2:G413))</f>
        <v/>
      </c>
    </row>
    <row r="414">
      <c r="A414" s="22" t="n"/>
      <c r="B414" s="23" t="n"/>
      <c r="C414" s="24" t="n"/>
      <c r="D414" s="17" t="n"/>
      <c r="E414" s="17" t="n"/>
      <c r="F414" s="17" t="n"/>
      <c r="G414" s="15" t="n"/>
      <c r="H414" s="25">
        <f>IF(G414="","",SUMIF(C$2:C414,"Masuk",G$2:G414)-SUMIF(C$2:C414,"Keluar",G$2:G414))</f>
        <v/>
      </c>
    </row>
    <row r="415">
      <c r="A415" s="26" t="n"/>
      <c r="B415" s="27" t="n"/>
      <c r="C415" s="28" t="n"/>
      <c r="D415" s="29" t="n"/>
      <c r="E415" s="29" t="n"/>
      <c r="F415" s="29" t="n"/>
      <c r="G415" s="30" t="n"/>
      <c r="H415" s="31">
        <f>IF(G415="","",SUMIF(C$2:C415,"Masuk",G$2:G415)-SUMIF(C$2:C415,"Keluar",G$2:G415))</f>
        <v/>
      </c>
    </row>
    <row r="416">
      <c r="A416" s="22" t="n"/>
      <c r="B416" s="23" t="n"/>
      <c r="C416" s="24" t="n"/>
      <c r="D416" s="17" t="n"/>
      <c r="E416" s="17" t="n"/>
      <c r="F416" s="17" t="n"/>
      <c r="G416" s="15" t="n"/>
      <c r="H416" s="25">
        <f>IF(G416="","",SUMIF(C$2:C416,"Masuk",G$2:G416)-SUMIF(C$2:C416,"Keluar",G$2:G416))</f>
        <v/>
      </c>
    </row>
    <row r="417">
      <c r="A417" s="26" t="n"/>
      <c r="B417" s="27" t="n"/>
      <c r="C417" s="28" t="n"/>
      <c r="D417" s="29" t="n"/>
      <c r="E417" s="29" t="n"/>
      <c r="F417" s="29" t="n"/>
      <c r="G417" s="30" t="n"/>
      <c r="H417" s="31">
        <f>IF(G417="","",SUMIF(C$2:C417,"Masuk",G$2:G417)-SUMIF(C$2:C417,"Keluar",G$2:G417))</f>
        <v/>
      </c>
    </row>
    <row r="418">
      <c r="A418" s="22" t="n"/>
      <c r="B418" s="23" t="n"/>
      <c r="C418" s="24" t="n"/>
      <c r="D418" s="17" t="n"/>
      <c r="E418" s="17" t="n"/>
      <c r="F418" s="17" t="n"/>
      <c r="G418" s="15" t="n"/>
      <c r="H418" s="25">
        <f>IF(G418="","",SUMIF(C$2:C418,"Masuk",G$2:G418)-SUMIF(C$2:C418,"Keluar",G$2:G418))</f>
        <v/>
      </c>
    </row>
    <row r="419">
      <c r="A419" s="26" t="n"/>
      <c r="B419" s="27" t="n"/>
      <c r="C419" s="28" t="n"/>
      <c r="D419" s="29" t="n"/>
      <c r="E419" s="29" t="n"/>
      <c r="F419" s="29" t="n"/>
      <c r="G419" s="30" t="n"/>
      <c r="H419" s="31">
        <f>IF(G419="","",SUMIF(C$2:C419,"Masuk",G$2:G419)-SUMIF(C$2:C419,"Keluar",G$2:G419))</f>
        <v/>
      </c>
    </row>
    <row r="420">
      <c r="A420" s="22" t="n"/>
      <c r="B420" s="23" t="n"/>
      <c r="C420" s="24" t="n"/>
      <c r="D420" s="17" t="n"/>
      <c r="E420" s="17" t="n"/>
      <c r="F420" s="17" t="n"/>
      <c r="G420" s="15" t="n"/>
      <c r="H420" s="25">
        <f>IF(G420="","",SUMIF(C$2:C420,"Masuk",G$2:G420)-SUMIF(C$2:C420,"Keluar",G$2:G420))</f>
        <v/>
      </c>
    </row>
    <row r="421">
      <c r="A421" s="26" t="n"/>
      <c r="B421" s="27" t="n"/>
      <c r="C421" s="28" t="n"/>
      <c r="D421" s="29" t="n"/>
      <c r="E421" s="29" t="n"/>
      <c r="F421" s="29" t="n"/>
      <c r="G421" s="30" t="n"/>
      <c r="H421" s="31">
        <f>IF(G421="","",SUMIF(C$2:C421,"Masuk",G$2:G421)-SUMIF(C$2:C421,"Keluar",G$2:G421))</f>
        <v/>
      </c>
    </row>
    <row r="422">
      <c r="A422" s="22" t="n"/>
      <c r="B422" s="23" t="n"/>
      <c r="C422" s="24" t="n"/>
      <c r="D422" s="17" t="n"/>
      <c r="E422" s="17" t="n"/>
      <c r="F422" s="17" t="n"/>
      <c r="G422" s="15" t="n"/>
      <c r="H422" s="25">
        <f>IF(G422="","",SUMIF(C$2:C422,"Masuk",G$2:G422)-SUMIF(C$2:C422,"Keluar",G$2:G422))</f>
        <v/>
      </c>
    </row>
    <row r="423">
      <c r="A423" s="26" t="n"/>
      <c r="B423" s="27" t="n"/>
      <c r="C423" s="28" t="n"/>
      <c r="D423" s="29" t="n"/>
      <c r="E423" s="29" t="n"/>
      <c r="F423" s="29" t="n"/>
      <c r="G423" s="30" t="n"/>
      <c r="H423" s="31">
        <f>IF(G423="","",SUMIF(C$2:C423,"Masuk",G$2:G423)-SUMIF(C$2:C423,"Keluar",G$2:G423))</f>
        <v/>
      </c>
    </row>
    <row r="424">
      <c r="A424" s="22" t="n"/>
      <c r="B424" s="23" t="n"/>
      <c r="C424" s="24" t="n"/>
      <c r="D424" s="17" t="n"/>
      <c r="E424" s="17" t="n"/>
      <c r="F424" s="17" t="n"/>
      <c r="G424" s="15" t="n"/>
      <c r="H424" s="25">
        <f>IF(G424="","",SUMIF(C$2:C424,"Masuk",G$2:G424)-SUMIF(C$2:C424,"Keluar",G$2:G424))</f>
        <v/>
      </c>
    </row>
    <row r="425">
      <c r="A425" s="26" t="n"/>
      <c r="B425" s="27" t="n"/>
      <c r="C425" s="28" t="n"/>
      <c r="D425" s="29" t="n"/>
      <c r="E425" s="29" t="n"/>
      <c r="F425" s="29" t="n"/>
      <c r="G425" s="30" t="n"/>
      <c r="H425" s="31">
        <f>IF(G425="","",SUMIF(C$2:C425,"Masuk",G$2:G425)-SUMIF(C$2:C425,"Keluar",G$2:G425))</f>
        <v/>
      </c>
    </row>
    <row r="426">
      <c r="A426" s="22" t="n"/>
      <c r="B426" s="23" t="n"/>
      <c r="C426" s="24" t="n"/>
      <c r="D426" s="17" t="n"/>
      <c r="E426" s="17" t="n"/>
      <c r="F426" s="17" t="n"/>
      <c r="G426" s="15" t="n"/>
      <c r="H426" s="25">
        <f>IF(G426="","",SUMIF(C$2:C426,"Masuk",G$2:G426)-SUMIF(C$2:C426,"Keluar",G$2:G426))</f>
        <v/>
      </c>
    </row>
    <row r="427">
      <c r="A427" s="26" t="n"/>
      <c r="B427" s="27" t="n"/>
      <c r="C427" s="28" t="n"/>
      <c r="D427" s="29" t="n"/>
      <c r="E427" s="29" t="n"/>
      <c r="F427" s="29" t="n"/>
      <c r="G427" s="30" t="n"/>
      <c r="H427" s="31">
        <f>IF(G427="","",SUMIF(C$2:C427,"Masuk",G$2:G427)-SUMIF(C$2:C427,"Keluar",G$2:G427))</f>
        <v/>
      </c>
    </row>
    <row r="428">
      <c r="A428" s="22" t="n"/>
      <c r="B428" s="23" t="n"/>
      <c r="C428" s="24" t="n"/>
      <c r="D428" s="17" t="n"/>
      <c r="E428" s="17" t="n"/>
      <c r="F428" s="17" t="n"/>
      <c r="G428" s="15" t="n"/>
      <c r="H428" s="25">
        <f>IF(G428="","",SUMIF(C$2:C428,"Masuk",G$2:G428)-SUMIF(C$2:C428,"Keluar",G$2:G428))</f>
        <v/>
      </c>
    </row>
    <row r="429">
      <c r="A429" s="26" t="n"/>
      <c r="B429" s="27" t="n"/>
      <c r="C429" s="28" t="n"/>
      <c r="D429" s="29" t="n"/>
      <c r="E429" s="29" t="n"/>
      <c r="F429" s="29" t="n"/>
      <c r="G429" s="30" t="n"/>
      <c r="H429" s="31">
        <f>IF(G429="","",SUMIF(C$2:C429,"Masuk",G$2:G429)-SUMIF(C$2:C429,"Keluar",G$2:G429))</f>
        <v/>
      </c>
    </row>
    <row r="430">
      <c r="A430" s="22" t="n"/>
      <c r="B430" s="23" t="n"/>
      <c r="C430" s="24" t="n"/>
      <c r="D430" s="17" t="n"/>
      <c r="E430" s="17" t="n"/>
      <c r="F430" s="17" t="n"/>
      <c r="G430" s="15" t="n"/>
      <c r="H430" s="25">
        <f>IF(G430="","",SUMIF(C$2:C430,"Masuk",G$2:G430)-SUMIF(C$2:C430,"Keluar",G$2:G430))</f>
        <v/>
      </c>
    </row>
    <row r="431">
      <c r="A431" s="26" t="n"/>
      <c r="B431" s="27" t="n"/>
      <c r="C431" s="28" t="n"/>
      <c r="D431" s="29" t="n"/>
      <c r="E431" s="29" t="n"/>
      <c r="F431" s="29" t="n"/>
      <c r="G431" s="30" t="n"/>
      <c r="H431" s="31">
        <f>IF(G431="","",SUMIF(C$2:C431,"Masuk",G$2:G431)-SUMIF(C$2:C431,"Keluar",G$2:G431))</f>
        <v/>
      </c>
    </row>
    <row r="432">
      <c r="A432" s="22" t="n"/>
      <c r="B432" s="23" t="n"/>
      <c r="C432" s="24" t="n"/>
      <c r="D432" s="17" t="n"/>
      <c r="E432" s="17" t="n"/>
      <c r="F432" s="17" t="n"/>
      <c r="G432" s="15" t="n"/>
      <c r="H432" s="25">
        <f>IF(G432="","",SUMIF(C$2:C432,"Masuk",G$2:G432)-SUMIF(C$2:C432,"Keluar",G$2:G432))</f>
        <v/>
      </c>
    </row>
    <row r="433">
      <c r="A433" s="26" t="n"/>
      <c r="B433" s="27" t="n"/>
      <c r="C433" s="28" t="n"/>
      <c r="D433" s="29" t="n"/>
      <c r="E433" s="29" t="n"/>
      <c r="F433" s="29" t="n"/>
      <c r="G433" s="30" t="n"/>
      <c r="H433" s="31">
        <f>IF(G433="","",SUMIF(C$2:C433,"Masuk",G$2:G433)-SUMIF(C$2:C433,"Keluar",G$2:G433))</f>
        <v/>
      </c>
    </row>
    <row r="434">
      <c r="A434" s="22" t="n"/>
      <c r="B434" s="23" t="n"/>
      <c r="C434" s="24" t="n"/>
      <c r="D434" s="17" t="n"/>
      <c r="E434" s="17" t="n"/>
      <c r="F434" s="17" t="n"/>
      <c r="G434" s="15" t="n"/>
      <c r="H434" s="25">
        <f>IF(G434="","",SUMIF(C$2:C434,"Masuk",G$2:G434)-SUMIF(C$2:C434,"Keluar",G$2:G434))</f>
        <v/>
      </c>
    </row>
    <row r="435">
      <c r="A435" s="26" t="n"/>
      <c r="B435" s="27" t="n"/>
      <c r="C435" s="28" t="n"/>
      <c r="D435" s="29" t="n"/>
      <c r="E435" s="29" t="n"/>
      <c r="F435" s="29" t="n"/>
      <c r="G435" s="30" t="n"/>
      <c r="H435" s="31">
        <f>IF(G435="","",SUMIF(C$2:C435,"Masuk",G$2:G435)-SUMIF(C$2:C435,"Keluar",G$2:G435))</f>
        <v/>
      </c>
    </row>
    <row r="436">
      <c r="A436" s="22" t="n"/>
      <c r="B436" s="23" t="n"/>
      <c r="C436" s="24" t="n"/>
      <c r="D436" s="17" t="n"/>
      <c r="E436" s="17" t="n"/>
      <c r="F436" s="17" t="n"/>
      <c r="G436" s="15" t="n"/>
      <c r="H436" s="25">
        <f>IF(G436="","",SUMIF(C$2:C436,"Masuk",G$2:G436)-SUMIF(C$2:C436,"Keluar",G$2:G436))</f>
        <v/>
      </c>
    </row>
    <row r="437">
      <c r="A437" s="26" t="n"/>
      <c r="B437" s="27" t="n"/>
      <c r="C437" s="28" t="n"/>
      <c r="D437" s="29" t="n"/>
      <c r="E437" s="29" t="n"/>
      <c r="F437" s="29" t="n"/>
      <c r="G437" s="30" t="n"/>
      <c r="H437" s="31">
        <f>IF(G437="","",SUMIF(C$2:C437,"Masuk",G$2:G437)-SUMIF(C$2:C437,"Keluar",G$2:G437))</f>
        <v/>
      </c>
    </row>
    <row r="438">
      <c r="A438" s="22" t="n"/>
      <c r="B438" s="23" t="n"/>
      <c r="C438" s="24" t="n"/>
      <c r="D438" s="17" t="n"/>
      <c r="E438" s="17" t="n"/>
      <c r="F438" s="17" t="n"/>
      <c r="G438" s="15" t="n"/>
      <c r="H438" s="25">
        <f>IF(G438="","",SUMIF(C$2:C438,"Masuk",G$2:G438)-SUMIF(C$2:C438,"Keluar",G$2:G438))</f>
        <v/>
      </c>
    </row>
    <row r="439">
      <c r="A439" s="26" t="n"/>
      <c r="B439" s="27" t="n"/>
      <c r="C439" s="28" t="n"/>
      <c r="D439" s="29" t="n"/>
      <c r="E439" s="29" t="n"/>
      <c r="F439" s="29" t="n"/>
      <c r="G439" s="30" t="n"/>
      <c r="H439" s="31">
        <f>IF(G439="","",SUMIF(C$2:C439,"Masuk",G$2:G439)-SUMIF(C$2:C439,"Keluar",G$2:G439))</f>
        <v/>
      </c>
    </row>
    <row r="440">
      <c r="A440" s="22" t="n"/>
      <c r="B440" s="23" t="n"/>
      <c r="C440" s="24" t="n"/>
      <c r="D440" s="17" t="n"/>
      <c r="E440" s="17" t="n"/>
      <c r="F440" s="17" t="n"/>
      <c r="G440" s="15" t="n"/>
      <c r="H440" s="25">
        <f>IF(G440="","",SUMIF(C$2:C440,"Masuk",G$2:G440)-SUMIF(C$2:C440,"Keluar",G$2:G440))</f>
        <v/>
      </c>
    </row>
    <row r="441">
      <c r="A441" s="26" t="n"/>
      <c r="B441" s="27" t="n"/>
      <c r="C441" s="28" t="n"/>
      <c r="D441" s="29" t="n"/>
      <c r="E441" s="29" t="n"/>
      <c r="F441" s="29" t="n"/>
      <c r="G441" s="30" t="n"/>
      <c r="H441" s="31">
        <f>IF(G441="","",SUMIF(C$2:C441,"Masuk",G$2:G441)-SUMIF(C$2:C441,"Keluar",G$2:G441))</f>
        <v/>
      </c>
    </row>
    <row r="442">
      <c r="A442" s="22" t="n"/>
      <c r="B442" s="23" t="n"/>
      <c r="C442" s="24" t="n"/>
      <c r="D442" s="17" t="n"/>
      <c r="E442" s="17" t="n"/>
      <c r="F442" s="17" t="n"/>
      <c r="G442" s="15" t="n"/>
      <c r="H442" s="25">
        <f>IF(G442="","",SUMIF(C$2:C442,"Masuk",G$2:G442)-SUMIF(C$2:C442,"Keluar",G$2:G442))</f>
        <v/>
      </c>
    </row>
    <row r="443">
      <c r="A443" s="26" t="n"/>
      <c r="B443" s="27" t="n"/>
      <c r="C443" s="28" t="n"/>
      <c r="D443" s="29" t="n"/>
      <c r="E443" s="29" t="n"/>
      <c r="F443" s="29" t="n"/>
      <c r="G443" s="30" t="n"/>
      <c r="H443" s="31">
        <f>IF(G443="","",SUMIF(C$2:C443,"Masuk",G$2:G443)-SUMIF(C$2:C443,"Keluar",G$2:G443))</f>
        <v/>
      </c>
    </row>
    <row r="444">
      <c r="A444" s="22" t="n"/>
      <c r="B444" s="23" t="n"/>
      <c r="C444" s="24" t="n"/>
      <c r="D444" s="17" t="n"/>
      <c r="E444" s="17" t="n"/>
      <c r="F444" s="17" t="n"/>
      <c r="G444" s="15" t="n"/>
      <c r="H444" s="25">
        <f>IF(G444="","",SUMIF(C$2:C444,"Masuk",G$2:G444)-SUMIF(C$2:C444,"Keluar",G$2:G444))</f>
        <v/>
      </c>
    </row>
    <row r="445">
      <c r="A445" s="26" t="n"/>
      <c r="B445" s="27" t="n"/>
      <c r="C445" s="28" t="n"/>
      <c r="D445" s="29" t="n"/>
      <c r="E445" s="29" t="n"/>
      <c r="F445" s="29" t="n"/>
      <c r="G445" s="30" t="n"/>
      <c r="H445" s="31">
        <f>IF(G445="","",SUMIF(C$2:C445,"Masuk",G$2:G445)-SUMIF(C$2:C445,"Keluar",G$2:G445))</f>
        <v/>
      </c>
    </row>
    <row r="446">
      <c r="A446" s="22" t="n"/>
      <c r="B446" s="23" t="n"/>
      <c r="C446" s="24" t="n"/>
      <c r="D446" s="17" t="n"/>
      <c r="E446" s="17" t="n"/>
      <c r="F446" s="17" t="n"/>
      <c r="G446" s="15" t="n"/>
      <c r="H446" s="25">
        <f>IF(G446="","",SUMIF(C$2:C446,"Masuk",G$2:G446)-SUMIF(C$2:C446,"Keluar",G$2:G446))</f>
        <v/>
      </c>
    </row>
    <row r="447">
      <c r="A447" s="26" t="n"/>
      <c r="B447" s="27" t="n"/>
      <c r="C447" s="28" t="n"/>
      <c r="D447" s="29" t="n"/>
      <c r="E447" s="29" t="n"/>
      <c r="F447" s="29" t="n"/>
      <c r="G447" s="30" t="n"/>
      <c r="H447" s="31">
        <f>IF(G447="","",SUMIF(C$2:C447,"Masuk",G$2:G447)-SUMIF(C$2:C447,"Keluar",G$2:G447))</f>
        <v/>
      </c>
    </row>
    <row r="448">
      <c r="A448" s="22" t="n"/>
      <c r="B448" s="23" t="n"/>
      <c r="C448" s="24" t="n"/>
      <c r="D448" s="17" t="n"/>
      <c r="E448" s="17" t="n"/>
      <c r="F448" s="17" t="n"/>
      <c r="G448" s="15" t="n"/>
      <c r="H448" s="25">
        <f>IF(G448="","",SUMIF(C$2:C448,"Masuk",G$2:G448)-SUMIF(C$2:C448,"Keluar",G$2:G448))</f>
        <v/>
      </c>
    </row>
    <row r="449">
      <c r="A449" s="26" t="n"/>
      <c r="B449" s="27" t="n"/>
      <c r="C449" s="28" t="n"/>
      <c r="D449" s="29" t="n"/>
      <c r="E449" s="29" t="n"/>
      <c r="F449" s="29" t="n"/>
      <c r="G449" s="30" t="n"/>
      <c r="H449" s="31">
        <f>IF(G449="","",SUMIF(C$2:C449,"Masuk",G$2:G449)-SUMIF(C$2:C449,"Keluar",G$2:G449))</f>
        <v/>
      </c>
    </row>
    <row r="450">
      <c r="A450" s="22" t="n"/>
      <c r="B450" s="23" t="n"/>
      <c r="C450" s="24" t="n"/>
      <c r="D450" s="17" t="n"/>
      <c r="E450" s="17" t="n"/>
      <c r="F450" s="17" t="n"/>
      <c r="G450" s="15" t="n"/>
      <c r="H450" s="25">
        <f>IF(G450="","",SUMIF(C$2:C450,"Masuk",G$2:G450)-SUMIF(C$2:C450,"Keluar",G$2:G450))</f>
        <v/>
      </c>
    </row>
    <row r="451">
      <c r="A451" s="26" t="n"/>
      <c r="B451" s="27" t="n"/>
      <c r="C451" s="28" t="n"/>
      <c r="D451" s="29" t="n"/>
      <c r="E451" s="29" t="n"/>
      <c r="F451" s="29" t="n"/>
      <c r="G451" s="30" t="n"/>
      <c r="H451" s="31">
        <f>IF(G451="","",SUMIF(C$2:C451,"Masuk",G$2:G451)-SUMIF(C$2:C451,"Keluar",G$2:G451))</f>
        <v/>
      </c>
    </row>
    <row r="452">
      <c r="A452" s="22" t="n"/>
      <c r="B452" s="23" t="n"/>
      <c r="C452" s="24" t="n"/>
      <c r="D452" s="17" t="n"/>
      <c r="E452" s="17" t="n"/>
      <c r="F452" s="17" t="n"/>
      <c r="G452" s="15" t="n"/>
      <c r="H452" s="25">
        <f>IF(G452="","",SUMIF(C$2:C452,"Masuk",G$2:G452)-SUMIF(C$2:C452,"Keluar",G$2:G452))</f>
        <v/>
      </c>
    </row>
    <row r="453">
      <c r="A453" s="26" t="n"/>
      <c r="B453" s="27" t="n"/>
      <c r="C453" s="28" t="n"/>
      <c r="D453" s="29" t="n"/>
      <c r="E453" s="29" t="n"/>
      <c r="F453" s="29" t="n"/>
      <c r="G453" s="30" t="n"/>
      <c r="H453" s="31">
        <f>IF(G453="","",SUMIF(C$2:C453,"Masuk",G$2:G453)-SUMIF(C$2:C453,"Keluar",G$2:G453))</f>
        <v/>
      </c>
    </row>
    <row r="454">
      <c r="A454" s="22" t="n"/>
      <c r="B454" s="23" t="n"/>
      <c r="C454" s="24" t="n"/>
      <c r="D454" s="17" t="n"/>
      <c r="E454" s="17" t="n"/>
      <c r="F454" s="17" t="n"/>
      <c r="G454" s="15" t="n"/>
      <c r="H454" s="25">
        <f>IF(G454="","",SUMIF(C$2:C454,"Masuk",G$2:G454)-SUMIF(C$2:C454,"Keluar",G$2:G454))</f>
        <v/>
      </c>
    </row>
    <row r="455">
      <c r="A455" s="26" t="n"/>
      <c r="B455" s="27" t="n"/>
      <c r="C455" s="28" t="n"/>
      <c r="D455" s="29" t="n"/>
      <c r="E455" s="29" t="n"/>
      <c r="F455" s="29" t="n"/>
      <c r="G455" s="30" t="n"/>
      <c r="H455" s="31">
        <f>IF(G455="","",SUMIF(C$2:C455,"Masuk",G$2:G455)-SUMIF(C$2:C455,"Keluar",G$2:G455))</f>
        <v/>
      </c>
    </row>
    <row r="456">
      <c r="A456" s="22" t="n"/>
      <c r="B456" s="23" t="n"/>
      <c r="C456" s="24" t="n"/>
      <c r="D456" s="17" t="n"/>
      <c r="E456" s="17" t="n"/>
      <c r="F456" s="17" t="n"/>
      <c r="G456" s="15" t="n"/>
      <c r="H456" s="25">
        <f>IF(G456="","",SUMIF(C$2:C456,"Masuk",G$2:G456)-SUMIF(C$2:C456,"Keluar",G$2:G456))</f>
        <v/>
      </c>
    </row>
    <row r="457">
      <c r="A457" s="26" t="n"/>
      <c r="B457" s="27" t="n"/>
      <c r="C457" s="28" t="n"/>
      <c r="D457" s="29" t="n"/>
      <c r="E457" s="29" t="n"/>
      <c r="F457" s="29" t="n"/>
      <c r="G457" s="30" t="n"/>
      <c r="H457" s="31">
        <f>IF(G457="","",SUMIF(C$2:C457,"Masuk",G$2:G457)-SUMIF(C$2:C457,"Keluar",G$2:G457))</f>
        <v/>
      </c>
    </row>
    <row r="458">
      <c r="A458" s="22" t="n"/>
      <c r="B458" s="23" t="n"/>
      <c r="C458" s="24" t="n"/>
      <c r="D458" s="17" t="n"/>
      <c r="E458" s="17" t="n"/>
      <c r="F458" s="17" t="n"/>
      <c r="G458" s="15" t="n"/>
      <c r="H458" s="25">
        <f>IF(G458="","",SUMIF(C$2:C458,"Masuk",G$2:G458)-SUMIF(C$2:C458,"Keluar",G$2:G458))</f>
        <v/>
      </c>
    </row>
    <row r="459">
      <c r="A459" s="26" t="n"/>
      <c r="B459" s="27" t="n"/>
      <c r="C459" s="28" t="n"/>
      <c r="D459" s="29" t="n"/>
      <c r="E459" s="29" t="n"/>
      <c r="F459" s="29" t="n"/>
      <c r="G459" s="30" t="n"/>
      <c r="H459" s="31">
        <f>IF(G459="","",SUMIF(C$2:C459,"Masuk",G$2:G459)-SUMIF(C$2:C459,"Keluar",G$2:G459))</f>
        <v/>
      </c>
    </row>
    <row r="460">
      <c r="A460" s="22" t="n"/>
      <c r="B460" s="23" t="n"/>
      <c r="C460" s="24" t="n"/>
      <c r="D460" s="17" t="n"/>
      <c r="E460" s="17" t="n"/>
      <c r="F460" s="17" t="n"/>
      <c r="G460" s="15" t="n"/>
      <c r="H460" s="25">
        <f>IF(G460="","",SUMIF(C$2:C460,"Masuk",G$2:G460)-SUMIF(C$2:C460,"Keluar",G$2:G460))</f>
        <v/>
      </c>
    </row>
    <row r="461">
      <c r="A461" s="26" t="n"/>
      <c r="B461" s="27" t="n"/>
      <c r="C461" s="28" t="n"/>
      <c r="D461" s="29" t="n"/>
      <c r="E461" s="29" t="n"/>
      <c r="F461" s="29" t="n"/>
      <c r="G461" s="30" t="n"/>
      <c r="H461" s="31">
        <f>IF(G461="","",SUMIF(C$2:C461,"Masuk",G$2:G461)-SUMIF(C$2:C461,"Keluar",G$2:G461))</f>
        <v/>
      </c>
    </row>
    <row r="462">
      <c r="A462" s="22" t="n"/>
      <c r="B462" s="23" t="n"/>
      <c r="C462" s="24" t="n"/>
      <c r="D462" s="17" t="n"/>
      <c r="E462" s="17" t="n"/>
      <c r="F462" s="17" t="n"/>
      <c r="G462" s="15" t="n"/>
      <c r="H462" s="25">
        <f>IF(G462="","",SUMIF(C$2:C462,"Masuk",G$2:G462)-SUMIF(C$2:C462,"Keluar",G$2:G462))</f>
        <v/>
      </c>
    </row>
    <row r="463">
      <c r="A463" s="26" t="n"/>
      <c r="B463" s="27" t="n"/>
      <c r="C463" s="28" t="n"/>
      <c r="D463" s="29" t="n"/>
      <c r="E463" s="29" t="n"/>
      <c r="F463" s="29" t="n"/>
      <c r="G463" s="30" t="n"/>
      <c r="H463" s="31">
        <f>IF(G463="","",SUMIF(C$2:C463,"Masuk",G$2:G463)-SUMIF(C$2:C463,"Keluar",G$2:G463))</f>
        <v/>
      </c>
    </row>
    <row r="464">
      <c r="A464" s="22" t="n"/>
      <c r="B464" s="23" t="n"/>
      <c r="C464" s="24" t="n"/>
      <c r="D464" s="17" t="n"/>
      <c r="E464" s="17" t="n"/>
      <c r="F464" s="17" t="n"/>
      <c r="G464" s="15" t="n"/>
      <c r="H464" s="25">
        <f>IF(G464="","",SUMIF(C$2:C464,"Masuk",G$2:G464)-SUMIF(C$2:C464,"Keluar",G$2:G464))</f>
        <v/>
      </c>
    </row>
    <row r="465">
      <c r="A465" s="26" t="n"/>
      <c r="B465" s="27" t="n"/>
      <c r="C465" s="28" t="n"/>
      <c r="D465" s="29" t="n"/>
      <c r="E465" s="29" t="n"/>
      <c r="F465" s="29" t="n"/>
      <c r="G465" s="30" t="n"/>
      <c r="H465" s="31">
        <f>IF(G465="","",SUMIF(C$2:C465,"Masuk",G$2:G465)-SUMIF(C$2:C465,"Keluar",G$2:G465))</f>
        <v/>
      </c>
    </row>
    <row r="466">
      <c r="A466" s="22" t="n"/>
      <c r="B466" s="23" t="n"/>
      <c r="C466" s="24" t="n"/>
      <c r="D466" s="17" t="n"/>
      <c r="E466" s="17" t="n"/>
      <c r="F466" s="17" t="n"/>
      <c r="G466" s="15" t="n"/>
      <c r="H466" s="25">
        <f>IF(G466="","",SUMIF(C$2:C466,"Masuk",G$2:G466)-SUMIF(C$2:C466,"Keluar",G$2:G466))</f>
        <v/>
      </c>
    </row>
    <row r="467">
      <c r="A467" s="26" t="n"/>
      <c r="B467" s="27" t="n"/>
      <c r="C467" s="28" t="n"/>
      <c r="D467" s="29" t="n"/>
      <c r="E467" s="29" t="n"/>
      <c r="F467" s="29" t="n"/>
      <c r="G467" s="30" t="n"/>
      <c r="H467" s="31">
        <f>IF(G467="","",SUMIF(C$2:C467,"Masuk",G$2:G467)-SUMIF(C$2:C467,"Keluar",G$2:G467))</f>
        <v/>
      </c>
    </row>
    <row r="468">
      <c r="A468" s="22" t="n"/>
      <c r="B468" s="23" t="n"/>
      <c r="C468" s="24" t="n"/>
      <c r="D468" s="17" t="n"/>
      <c r="E468" s="17" t="n"/>
      <c r="F468" s="17" t="n"/>
      <c r="G468" s="15" t="n"/>
      <c r="H468" s="25">
        <f>IF(G468="","",SUMIF(C$2:C468,"Masuk",G$2:G468)-SUMIF(C$2:C468,"Keluar",G$2:G468))</f>
        <v/>
      </c>
    </row>
    <row r="469">
      <c r="A469" s="26" t="n"/>
      <c r="B469" s="27" t="n"/>
      <c r="C469" s="28" t="n"/>
      <c r="D469" s="29" t="n"/>
      <c r="E469" s="29" t="n"/>
      <c r="F469" s="29" t="n"/>
      <c r="G469" s="30" t="n"/>
      <c r="H469" s="31">
        <f>IF(G469="","",SUMIF(C$2:C469,"Masuk",G$2:G469)-SUMIF(C$2:C469,"Keluar",G$2:G469))</f>
        <v/>
      </c>
    </row>
    <row r="470">
      <c r="A470" s="22" t="n"/>
      <c r="B470" s="23" t="n"/>
      <c r="C470" s="24" t="n"/>
      <c r="D470" s="17" t="n"/>
      <c r="E470" s="17" t="n"/>
      <c r="F470" s="17" t="n"/>
      <c r="G470" s="15" t="n"/>
      <c r="H470" s="25">
        <f>IF(G470="","",SUMIF(C$2:C470,"Masuk",G$2:G470)-SUMIF(C$2:C470,"Keluar",G$2:G470))</f>
        <v/>
      </c>
    </row>
    <row r="471">
      <c r="A471" s="26" t="n"/>
      <c r="B471" s="27" t="n"/>
      <c r="C471" s="28" t="n"/>
      <c r="D471" s="29" t="n"/>
      <c r="E471" s="29" t="n"/>
      <c r="F471" s="29" t="n"/>
      <c r="G471" s="30" t="n"/>
      <c r="H471" s="31">
        <f>IF(G471="","",SUMIF(C$2:C471,"Masuk",G$2:G471)-SUMIF(C$2:C471,"Keluar",G$2:G471))</f>
        <v/>
      </c>
    </row>
    <row r="472">
      <c r="A472" s="22" t="n"/>
      <c r="B472" s="23" t="n"/>
      <c r="C472" s="24" t="n"/>
      <c r="D472" s="17" t="n"/>
      <c r="E472" s="17" t="n"/>
      <c r="F472" s="17" t="n"/>
      <c r="G472" s="15" t="n"/>
      <c r="H472" s="25">
        <f>IF(G472="","",SUMIF(C$2:C472,"Masuk",G$2:G472)-SUMIF(C$2:C472,"Keluar",G$2:G472))</f>
        <v/>
      </c>
    </row>
    <row r="473">
      <c r="A473" s="26" t="n"/>
      <c r="B473" s="27" t="n"/>
      <c r="C473" s="28" t="n"/>
      <c r="D473" s="29" t="n"/>
      <c r="E473" s="29" t="n"/>
      <c r="F473" s="29" t="n"/>
      <c r="G473" s="30" t="n"/>
      <c r="H473" s="31">
        <f>IF(G473="","",SUMIF(C$2:C473,"Masuk",G$2:G473)-SUMIF(C$2:C473,"Keluar",G$2:G473))</f>
        <v/>
      </c>
    </row>
    <row r="474">
      <c r="A474" s="22" t="n"/>
      <c r="B474" s="23" t="n"/>
      <c r="C474" s="24" t="n"/>
      <c r="D474" s="17" t="n"/>
      <c r="E474" s="17" t="n"/>
      <c r="F474" s="17" t="n"/>
      <c r="G474" s="15" t="n"/>
      <c r="H474" s="25">
        <f>IF(G474="","",SUMIF(C$2:C474,"Masuk",G$2:G474)-SUMIF(C$2:C474,"Keluar",G$2:G474))</f>
        <v/>
      </c>
    </row>
    <row r="475">
      <c r="A475" s="26" t="n"/>
      <c r="B475" s="27" t="n"/>
      <c r="C475" s="28" t="n"/>
      <c r="D475" s="29" t="n"/>
      <c r="E475" s="29" t="n"/>
      <c r="F475" s="29" t="n"/>
      <c r="G475" s="30" t="n"/>
      <c r="H475" s="31">
        <f>IF(G475="","",SUMIF(C$2:C475,"Masuk",G$2:G475)-SUMIF(C$2:C475,"Keluar",G$2:G475))</f>
        <v/>
      </c>
    </row>
    <row r="476">
      <c r="A476" s="22" t="n"/>
      <c r="B476" s="23" t="n"/>
      <c r="C476" s="24" t="n"/>
      <c r="D476" s="17" t="n"/>
      <c r="E476" s="17" t="n"/>
      <c r="F476" s="17" t="n"/>
      <c r="G476" s="15" t="n"/>
      <c r="H476" s="25">
        <f>IF(G476="","",SUMIF(C$2:C476,"Masuk",G$2:G476)-SUMIF(C$2:C476,"Keluar",G$2:G476))</f>
        <v/>
      </c>
    </row>
    <row r="477">
      <c r="A477" s="26" t="n"/>
      <c r="B477" s="27" t="n"/>
      <c r="C477" s="28" t="n"/>
      <c r="D477" s="29" t="n"/>
      <c r="E477" s="29" t="n"/>
      <c r="F477" s="29" t="n"/>
      <c r="G477" s="30" t="n"/>
      <c r="H477" s="31">
        <f>IF(G477="","",SUMIF(C$2:C477,"Masuk",G$2:G477)-SUMIF(C$2:C477,"Keluar",G$2:G477))</f>
        <v/>
      </c>
    </row>
    <row r="478">
      <c r="A478" s="22" t="n"/>
      <c r="B478" s="23" t="n"/>
      <c r="C478" s="24" t="n"/>
      <c r="D478" s="17" t="n"/>
      <c r="E478" s="17" t="n"/>
      <c r="F478" s="17" t="n"/>
      <c r="G478" s="15" t="n"/>
      <c r="H478" s="25">
        <f>IF(G478="","",SUMIF(C$2:C478,"Masuk",G$2:G478)-SUMIF(C$2:C478,"Keluar",G$2:G478))</f>
        <v/>
      </c>
    </row>
    <row r="479">
      <c r="A479" s="26" t="n"/>
      <c r="B479" s="27" t="n"/>
      <c r="C479" s="28" t="n"/>
      <c r="D479" s="29" t="n"/>
      <c r="E479" s="29" t="n"/>
      <c r="F479" s="29" t="n"/>
      <c r="G479" s="30" t="n"/>
      <c r="H479" s="31">
        <f>IF(G479="","",SUMIF(C$2:C479,"Masuk",G$2:G479)-SUMIF(C$2:C479,"Keluar",G$2:G479))</f>
        <v/>
      </c>
    </row>
    <row r="480">
      <c r="A480" s="22" t="n"/>
      <c r="B480" s="23" t="n"/>
      <c r="C480" s="24" t="n"/>
      <c r="D480" s="17" t="n"/>
      <c r="E480" s="17" t="n"/>
      <c r="F480" s="17" t="n"/>
      <c r="G480" s="15" t="n"/>
      <c r="H480" s="25">
        <f>IF(G480="","",SUMIF(C$2:C480,"Masuk",G$2:G480)-SUMIF(C$2:C480,"Keluar",G$2:G480))</f>
        <v/>
      </c>
    </row>
    <row r="481">
      <c r="A481" s="26" t="n"/>
      <c r="B481" s="27" t="n"/>
      <c r="C481" s="28" t="n"/>
      <c r="D481" s="29" t="n"/>
      <c r="E481" s="29" t="n"/>
      <c r="F481" s="29" t="n"/>
      <c r="G481" s="30" t="n"/>
      <c r="H481" s="31">
        <f>IF(G481="","",SUMIF(C$2:C481,"Masuk",G$2:G481)-SUMIF(C$2:C481,"Keluar",G$2:G481))</f>
        <v/>
      </c>
    </row>
    <row r="482">
      <c r="A482" s="22" t="n"/>
      <c r="B482" s="23" t="n"/>
      <c r="C482" s="24" t="n"/>
      <c r="D482" s="17" t="n"/>
      <c r="E482" s="17" t="n"/>
      <c r="F482" s="17" t="n"/>
      <c r="G482" s="15" t="n"/>
      <c r="H482" s="25">
        <f>IF(G482="","",SUMIF(C$2:C482,"Masuk",G$2:G482)-SUMIF(C$2:C482,"Keluar",G$2:G482))</f>
        <v/>
      </c>
    </row>
    <row r="483">
      <c r="A483" s="26" t="n"/>
      <c r="B483" s="27" t="n"/>
      <c r="C483" s="28" t="n"/>
      <c r="D483" s="29" t="n"/>
      <c r="E483" s="29" t="n"/>
      <c r="F483" s="29" t="n"/>
      <c r="G483" s="30" t="n"/>
      <c r="H483" s="31">
        <f>IF(G483="","",SUMIF(C$2:C483,"Masuk",G$2:G483)-SUMIF(C$2:C483,"Keluar",G$2:G483))</f>
        <v/>
      </c>
    </row>
    <row r="484">
      <c r="A484" s="22" t="n"/>
      <c r="B484" s="23" t="n"/>
      <c r="C484" s="24" t="n"/>
      <c r="D484" s="17" t="n"/>
      <c r="E484" s="17" t="n"/>
      <c r="F484" s="17" t="n"/>
      <c r="G484" s="15" t="n"/>
      <c r="H484" s="25">
        <f>IF(G484="","",SUMIF(C$2:C484,"Masuk",G$2:G484)-SUMIF(C$2:C484,"Keluar",G$2:G484))</f>
        <v/>
      </c>
    </row>
    <row r="485">
      <c r="A485" s="26" t="n"/>
      <c r="B485" s="27" t="n"/>
      <c r="C485" s="28" t="n"/>
      <c r="D485" s="29" t="n"/>
      <c r="E485" s="29" t="n"/>
      <c r="F485" s="29" t="n"/>
      <c r="G485" s="30" t="n"/>
      <c r="H485" s="31">
        <f>IF(G485="","",SUMIF(C$2:C485,"Masuk",G$2:G485)-SUMIF(C$2:C485,"Keluar",G$2:G485))</f>
        <v/>
      </c>
    </row>
    <row r="486">
      <c r="A486" s="22" t="n"/>
      <c r="B486" s="23" t="n"/>
      <c r="C486" s="24" t="n"/>
      <c r="D486" s="17" t="n"/>
      <c r="E486" s="17" t="n"/>
      <c r="F486" s="17" t="n"/>
      <c r="G486" s="15" t="n"/>
      <c r="H486" s="25">
        <f>IF(G486="","",SUMIF(C$2:C486,"Masuk",G$2:G486)-SUMIF(C$2:C486,"Keluar",G$2:G486))</f>
        <v/>
      </c>
    </row>
    <row r="487">
      <c r="A487" s="26" t="n"/>
      <c r="B487" s="27" t="n"/>
      <c r="C487" s="28" t="n"/>
      <c r="D487" s="29" t="n"/>
      <c r="E487" s="29" t="n"/>
      <c r="F487" s="29" t="n"/>
      <c r="G487" s="30" t="n"/>
      <c r="H487" s="31">
        <f>IF(G487="","",SUMIF(C$2:C487,"Masuk",G$2:G487)-SUMIF(C$2:C487,"Keluar",G$2:G487))</f>
        <v/>
      </c>
    </row>
    <row r="488">
      <c r="A488" s="22" t="n"/>
      <c r="B488" s="23" t="n"/>
      <c r="C488" s="24" t="n"/>
      <c r="D488" s="17" t="n"/>
      <c r="E488" s="17" t="n"/>
      <c r="F488" s="17" t="n"/>
      <c r="G488" s="15" t="n"/>
      <c r="H488" s="25">
        <f>IF(G488="","",SUMIF(C$2:C488,"Masuk",G$2:G488)-SUMIF(C$2:C488,"Keluar",G$2:G488))</f>
        <v/>
      </c>
    </row>
    <row r="489">
      <c r="A489" s="26" t="n"/>
      <c r="B489" s="27" t="n"/>
      <c r="C489" s="28" t="n"/>
      <c r="D489" s="29" t="n"/>
      <c r="E489" s="29" t="n"/>
      <c r="F489" s="29" t="n"/>
      <c r="G489" s="30" t="n"/>
      <c r="H489" s="31">
        <f>IF(G489="","",SUMIF(C$2:C489,"Masuk",G$2:G489)-SUMIF(C$2:C489,"Keluar",G$2:G489))</f>
        <v/>
      </c>
    </row>
    <row r="490">
      <c r="A490" s="22" t="n"/>
      <c r="B490" s="23" t="n"/>
      <c r="C490" s="24" t="n"/>
      <c r="D490" s="17" t="n"/>
      <c r="E490" s="17" t="n"/>
      <c r="F490" s="17" t="n"/>
      <c r="G490" s="15" t="n"/>
      <c r="H490" s="25">
        <f>IF(G490="","",SUMIF(C$2:C490,"Masuk",G$2:G490)-SUMIF(C$2:C490,"Keluar",G$2:G490))</f>
        <v/>
      </c>
    </row>
    <row r="491">
      <c r="A491" s="26" t="n"/>
      <c r="B491" s="27" t="n"/>
      <c r="C491" s="28" t="n"/>
      <c r="D491" s="29" t="n"/>
      <c r="E491" s="29" t="n"/>
      <c r="F491" s="29" t="n"/>
      <c r="G491" s="30" t="n"/>
      <c r="H491" s="31">
        <f>IF(G491="","",SUMIF(C$2:C491,"Masuk",G$2:G491)-SUMIF(C$2:C491,"Keluar",G$2:G491))</f>
        <v/>
      </c>
    </row>
    <row r="492">
      <c r="A492" s="22" t="n"/>
      <c r="B492" s="23" t="n"/>
      <c r="C492" s="24" t="n"/>
      <c r="D492" s="17" t="n"/>
      <c r="E492" s="17" t="n"/>
      <c r="F492" s="17" t="n"/>
      <c r="G492" s="15" t="n"/>
      <c r="H492" s="25">
        <f>IF(G492="","",SUMIF(C$2:C492,"Masuk",G$2:G492)-SUMIF(C$2:C492,"Keluar",G$2:G492))</f>
        <v/>
      </c>
    </row>
    <row r="493">
      <c r="A493" s="26" t="n"/>
      <c r="B493" s="27" t="n"/>
      <c r="C493" s="28" t="n"/>
      <c r="D493" s="29" t="n"/>
      <c r="E493" s="29" t="n"/>
      <c r="F493" s="29" t="n"/>
      <c r="G493" s="30" t="n"/>
      <c r="H493" s="31">
        <f>IF(G493="","",SUMIF(C$2:C493,"Masuk",G$2:G493)-SUMIF(C$2:C493,"Keluar",G$2:G493))</f>
        <v/>
      </c>
    </row>
    <row r="494">
      <c r="A494" s="22" t="n"/>
      <c r="B494" s="23" t="n"/>
      <c r="C494" s="24" t="n"/>
      <c r="D494" s="17" t="n"/>
      <c r="E494" s="17" t="n"/>
      <c r="F494" s="17" t="n"/>
      <c r="G494" s="15" t="n"/>
      <c r="H494" s="25">
        <f>IF(G494="","",SUMIF(C$2:C494,"Masuk",G$2:G494)-SUMIF(C$2:C494,"Keluar",G$2:G494))</f>
        <v/>
      </c>
    </row>
    <row r="495">
      <c r="A495" s="26" t="n"/>
      <c r="B495" s="27" t="n"/>
      <c r="C495" s="28" t="n"/>
      <c r="D495" s="29" t="n"/>
      <c r="E495" s="29" t="n"/>
      <c r="F495" s="29" t="n"/>
      <c r="G495" s="30" t="n"/>
      <c r="H495" s="31">
        <f>IF(G495="","",SUMIF(C$2:C495,"Masuk",G$2:G495)-SUMIF(C$2:C495,"Keluar",G$2:G495))</f>
        <v/>
      </c>
    </row>
    <row r="496">
      <c r="A496" s="22" t="n"/>
      <c r="B496" s="23" t="n"/>
      <c r="C496" s="24" t="n"/>
      <c r="D496" s="17" t="n"/>
      <c r="E496" s="17" t="n"/>
      <c r="F496" s="17" t="n"/>
      <c r="G496" s="15" t="n"/>
      <c r="H496" s="25">
        <f>IF(G496="","",SUMIF(C$2:C496,"Masuk",G$2:G496)-SUMIF(C$2:C496,"Keluar",G$2:G496))</f>
        <v/>
      </c>
    </row>
    <row r="497">
      <c r="A497" s="26" t="n"/>
      <c r="B497" s="27" t="n"/>
      <c r="C497" s="28" t="n"/>
      <c r="D497" s="29" t="n"/>
      <c r="E497" s="29" t="n"/>
      <c r="F497" s="29" t="n"/>
      <c r="G497" s="30" t="n"/>
      <c r="H497" s="31">
        <f>IF(G497="","",SUMIF(C$2:C497,"Masuk",G$2:G497)-SUMIF(C$2:C497,"Keluar",G$2:G497))</f>
        <v/>
      </c>
    </row>
    <row r="498">
      <c r="A498" s="22" t="n"/>
      <c r="B498" s="23" t="n"/>
      <c r="C498" s="24" t="n"/>
      <c r="D498" s="17" t="n"/>
      <c r="E498" s="17" t="n"/>
      <c r="F498" s="17" t="n"/>
      <c r="G498" s="15" t="n"/>
      <c r="H498" s="25">
        <f>IF(G498="","",SUMIF(C$2:C498,"Masuk",G$2:G498)-SUMIF(C$2:C498,"Keluar",G$2:G498))</f>
        <v/>
      </c>
    </row>
    <row r="499">
      <c r="A499" s="26" t="n"/>
      <c r="B499" s="27" t="n"/>
      <c r="C499" s="28" t="n"/>
      <c r="D499" s="29" t="n"/>
      <c r="E499" s="29" t="n"/>
      <c r="F499" s="29" t="n"/>
      <c r="G499" s="30" t="n"/>
      <c r="H499" s="31">
        <f>IF(G499="","",SUMIF(C$2:C499,"Masuk",G$2:G499)-SUMIF(C$2:C499,"Keluar",G$2:G499))</f>
        <v/>
      </c>
    </row>
    <row r="500">
      <c r="A500" s="22" t="n"/>
      <c r="B500" s="23" t="n"/>
      <c r="C500" s="24" t="n"/>
      <c r="D500" s="17" t="n"/>
      <c r="E500" s="17" t="n"/>
      <c r="F500" s="17" t="n"/>
      <c r="G500" s="15" t="n"/>
      <c r="H500" s="25">
        <f>IF(G500="","",SUMIF(C$2:C500,"Masuk",G$2:G500)-SUMIF(C$2:C500,"Keluar",G$2:G500))</f>
        <v/>
      </c>
    </row>
    <row r="501">
      <c r="A501" s="26" t="n"/>
      <c r="B501" s="27" t="n"/>
      <c r="C501" s="28" t="n"/>
      <c r="D501" s="29" t="n"/>
      <c r="E501" s="29" t="n"/>
      <c r="F501" s="29" t="n"/>
      <c r="G501" s="30" t="n"/>
      <c r="H501" s="31">
        <f>IF(G501="","",SUMIF(C$2:C501,"Masuk",G$2:G501)-SUMIF(C$2:C501,"Keluar",G$2:G501))</f>
        <v/>
      </c>
    </row>
    <row r="502">
      <c r="A502" s="22" t="n"/>
      <c r="B502" s="23" t="n"/>
      <c r="C502" s="24" t="n"/>
      <c r="D502" s="17" t="n"/>
      <c r="E502" s="17" t="n"/>
      <c r="F502" s="17" t="n"/>
      <c r="G502" s="15" t="n"/>
      <c r="H502" s="25">
        <f>IF(G502="","",SUMIF(C$2:C502,"Masuk",G$2:G502)-SUMIF(C$2:C502,"Keluar",G$2:G502))</f>
        <v/>
      </c>
    </row>
    <row r="503">
      <c r="A503" s="26" t="n"/>
      <c r="B503" s="27" t="n"/>
      <c r="C503" s="28" t="n"/>
      <c r="D503" s="29" t="n"/>
      <c r="E503" s="29" t="n"/>
      <c r="F503" s="29" t="n"/>
      <c r="G503" s="30" t="n"/>
      <c r="H503" s="31">
        <f>IF(G503="","",SUMIF(C$2:C503,"Masuk",G$2:G503)-SUMIF(C$2:C503,"Keluar",G$2:G503))</f>
        <v/>
      </c>
    </row>
    <row r="504">
      <c r="A504" s="22" t="n"/>
      <c r="B504" s="23" t="n"/>
      <c r="C504" s="24" t="n"/>
      <c r="D504" s="17" t="n"/>
      <c r="E504" s="17" t="n"/>
      <c r="F504" s="17" t="n"/>
      <c r="G504" s="15" t="n"/>
      <c r="H504" s="25">
        <f>IF(G504="","",SUMIF(C$2:C504,"Masuk",G$2:G504)-SUMIF(C$2:C504,"Keluar",G$2:G504))</f>
        <v/>
      </c>
    </row>
    <row r="505">
      <c r="A505" s="26" t="n"/>
      <c r="B505" s="27" t="n"/>
      <c r="C505" s="28" t="n"/>
      <c r="D505" s="29" t="n"/>
      <c r="E505" s="29" t="n"/>
      <c r="F505" s="29" t="n"/>
      <c r="G505" s="30" t="n"/>
      <c r="H505" s="31">
        <f>IF(G505="","",SUMIF(C$2:C505,"Masuk",G$2:G505)-SUMIF(C$2:C505,"Keluar",G$2:G505))</f>
        <v/>
      </c>
    </row>
    <row r="506">
      <c r="A506" s="22" t="n"/>
      <c r="B506" s="23" t="n"/>
      <c r="C506" s="24" t="n"/>
      <c r="D506" s="17" t="n"/>
      <c r="E506" s="17" t="n"/>
      <c r="F506" s="17" t="n"/>
      <c r="G506" s="15" t="n"/>
      <c r="H506" s="25">
        <f>IF(G506="","",SUMIF(C$2:C506,"Masuk",G$2:G506)-SUMIF(C$2:C506,"Keluar",G$2:G506))</f>
        <v/>
      </c>
    </row>
    <row r="507">
      <c r="A507" s="26" t="n"/>
      <c r="B507" s="27" t="n"/>
      <c r="C507" s="28" t="n"/>
      <c r="D507" s="29" t="n"/>
      <c r="E507" s="29" t="n"/>
      <c r="F507" s="29" t="n"/>
      <c r="G507" s="30" t="n"/>
      <c r="H507" s="31">
        <f>IF(G507="","",SUMIF(C$2:C507,"Masuk",G$2:G507)-SUMIF(C$2:C507,"Keluar",G$2:G507))</f>
        <v/>
      </c>
    </row>
    <row r="508">
      <c r="A508" s="22" t="n"/>
      <c r="B508" s="23" t="n"/>
      <c r="C508" s="24" t="n"/>
      <c r="D508" s="17" t="n"/>
      <c r="E508" s="17" t="n"/>
      <c r="F508" s="17" t="n"/>
      <c r="G508" s="15" t="n"/>
      <c r="H508" s="25">
        <f>IF(G508="","",SUMIF(C$2:C508,"Masuk",G$2:G508)-SUMIF(C$2:C508,"Keluar",G$2:G508))</f>
        <v/>
      </c>
    </row>
    <row r="509">
      <c r="A509" s="26" t="n"/>
      <c r="B509" s="27" t="n"/>
      <c r="C509" s="28" t="n"/>
      <c r="D509" s="29" t="n"/>
      <c r="E509" s="29" t="n"/>
      <c r="F509" s="29" t="n"/>
      <c r="G509" s="30" t="n"/>
      <c r="H509" s="31">
        <f>IF(G509="","",SUMIF(C$2:C509,"Masuk",G$2:G509)-SUMIF(C$2:C509,"Keluar",G$2:G509))</f>
        <v/>
      </c>
    </row>
    <row r="510">
      <c r="A510" s="22" t="n"/>
      <c r="B510" s="23" t="n"/>
      <c r="C510" s="24" t="n"/>
      <c r="D510" s="17" t="n"/>
      <c r="E510" s="17" t="n"/>
      <c r="F510" s="17" t="n"/>
      <c r="G510" s="15" t="n"/>
      <c r="H510" s="25">
        <f>IF(G510="","",SUMIF(C$2:C510,"Masuk",G$2:G510)-SUMIF(C$2:C510,"Keluar",G$2:G510))</f>
        <v/>
      </c>
    </row>
    <row r="511">
      <c r="A511" s="26" t="n"/>
      <c r="B511" s="27" t="n"/>
      <c r="C511" s="28" t="n"/>
      <c r="D511" s="29" t="n"/>
      <c r="E511" s="29" t="n"/>
      <c r="F511" s="29" t="n"/>
      <c r="G511" s="30" t="n"/>
      <c r="H511" s="31">
        <f>IF(G511="","",SUMIF(C$2:C511,"Masuk",G$2:G511)-SUMIF(C$2:C511,"Keluar",G$2:G511))</f>
        <v/>
      </c>
    </row>
    <row r="512">
      <c r="A512" s="22" t="n"/>
      <c r="B512" s="23" t="n"/>
      <c r="C512" s="24" t="n"/>
      <c r="D512" s="17" t="n"/>
      <c r="E512" s="17" t="n"/>
      <c r="F512" s="17" t="n"/>
      <c r="G512" s="15" t="n"/>
      <c r="H512" s="25">
        <f>IF(G512="","",SUMIF(C$2:C512,"Masuk",G$2:G512)-SUMIF(C$2:C512,"Keluar",G$2:G512))</f>
        <v/>
      </c>
    </row>
    <row r="513">
      <c r="A513" s="26" t="n"/>
      <c r="B513" s="27" t="n"/>
      <c r="C513" s="28" t="n"/>
      <c r="D513" s="29" t="n"/>
      <c r="E513" s="29" t="n"/>
      <c r="F513" s="29" t="n"/>
      <c r="G513" s="30" t="n"/>
      <c r="H513" s="31">
        <f>IF(G513="","",SUMIF(C$2:C513,"Masuk",G$2:G513)-SUMIF(C$2:C513,"Keluar",G$2:G513))</f>
        <v/>
      </c>
    </row>
    <row r="514">
      <c r="A514" s="22" t="n"/>
      <c r="B514" s="23" t="n"/>
      <c r="C514" s="24" t="n"/>
      <c r="D514" s="17" t="n"/>
      <c r="E514" s="17" t="n"/>
      <c r="F514" s="17" t="n"/>
      <c r="G514" s="15" t="n"/>
      <c r="H514" s="25">
        <f>IF(G514="","",SUMIF(C$2:C514,"Masuk",G$2:G514)-SUMIF(C$2:C514,"Keluar",G$2:G514))</f>
        <v/>
      </c>
    </row>
    <row r="515">
      <c r="A515" s="26" t="n"/>
      <c r="B515" s="27" t="n"/>
      <c r="C515" s="28" t="n"/>
      <c r="D515" s="29" t="n"/>
      <c r="E515" s="29" t="n"/>
      <c r="F515" s="29" t="n"/>
      <c r="G515" s="30" t="n"/>
      <c r="H515" s="31">
        <f>IF(G515="","",SUMIF(C$2:C515,"Masuk",G$2:G515)-SUMIF(C$2:C515,"Keluar",G$2:G515))</f>
        <v/>
      </c>
    </row>
    <row r="516">
      <c r="A516" s="22" t="n"/>
      <c r="B516" s="23" t="n"/>
      <c r="C516" s="24" t="n"/>
      <c r="D516" s="17" t="n"/>
      <c r="E516" s="17" t="n"/>
      <c r="F516" s="17" t="n"/>
      <c r="G516" s="15" t="n"/>
      <c r="H516" s="25">
        <f>IF(G516="","",SUMIF(C$2:C516,"Masuk",G$2:G516)-SUMIF(C$2:C516,"Keluar",G$2:G516))</f>
        <v/>
      </c>
    </row>
    <row r="517">
      <c r="A517" s="26" t="n"/>
      <c r="B517" s="27" t="n"/>
      <c r="C517" s="28" t="n"/>
      <c r="D517" s="29" t="n"/>
      <c r="E517" s="29" t="n"/>
      <c r="F517" s="29" t="n"/>
      <c r="G517" s="30" t="n"/>
      <c r="H517" s="31">
        <f>IF(G517="","",SUMIF(C$2:C517,"Masuk",G$2:G517)-SUMIF(C$2:C517,"Keluar",G$2:G517))</f>
        <v/>
      </c>
    </row>
    <row r="518">
      <c r="A518" s="22" t="n"/>
      <c r="B518" s="23" t="n"/>
      <c r="C518" s="24" t="n"/>
      <c r="D518" s="17" t="n"/>
      <c r="E518" s="17" t="n"/>
      <c r="F518" s="17" t="n"/>
      <c r="G518" s="15" t="n"/>
      <c r="H518" s="25">
        <f>IF(G518="","",SUMIF(C$2:C518,"Masuk",G$2:G518)-SUMIF(C$2:C518,"Keluar",G$2:G518))</f>
        <v/>
      </c>
    </row>
    <row r="519">
      <c r="A519" s="26" t="n"/>
      <c r="B519" s="27" t="n"/>
      <c r="C519" s="28" t="n"/>
      <c r="D519" s="29" t="n"/>
      <c r="E519" s="29" t="n"/>
      <c r="F519" s="29" t="n"/>
      <c r="G519" s="30" t="n"/>
      <c r="H519" s="31">
        <f>IF(G519="","",SUMIF(C$2:C519,"Masuk",G$2:G519)-SUMIF(C$2:C519,"Keluar",G$2:G519))</f>
        <v/>
      </c>
    </row>
    <row r="520">
      <c r="A520" s="22" t="n"/>
      <c r="B520" s="23" t="n"/>
      <c r="C520" s="24" t="n"/>
      <c r="D520" s="17" t="n"/>
      <c r="E520" s="17" t="n"/>
      <c r="F520" s="17" t="n"/>
      <c r="G520" s="15" t="n"/>
      <c r="H520" s="25">
        <f>IF(G520="","",SUMIF(C$2:C520,"Masuk",G$2:G520)-SUMIF(C$2:C520,"Keluar",G$2:G520))</f>
        <v/>
      </c>
    </row>
    <row r="521">
      <c r="A521" s="26" t="n"/>
      <c r="B521" s="27" t="n"/>
      <c r="C521" s="28" t="n"/>
      <c r="D521" s="29" t="n"/>
      <c r="E521" s="29" t="n"/>
      <c r="F521" s="29" t="n"/>
      <c r="G521" s="30" t="n"/>
      <c r="H521" s="31">
        <f>IF(G521="","",SUMIF(C$2:C521,"Masuk",G$2:G521)-SUMIF(C$2:C521,"Keluar",G$2:G521))</f>
        <v/>
      </c>
    </row>
    <row r="522">
      <c r="A522" s="22" t="n"/>
      <c r="B522" s="23" t="n"/>
      <c r="C522" s="24" t="n"/>
      <c r="D522" s="17" t="n"/>
      <c r="E522" s="17" t="n"/>
      <c r="F522" s="17" t="n"/>
      <c r="G522" s="15" t="n"/>
      <c r="H522" s="25">
        <f>IF(G522="","",SUMIF(C$2:C522,"Masuk",G$2:G522)-SUMIF(C$2:C522,"Keluar",G$2:G522))</f>
        <v/>
      </c>
    </row>
    <row r="523">
      <c r="A523" s="26" t="n"/>
      <c r="B523" s="27" t="n"/>
      <c r="C523" s="28" t="n"/>
      <c r="D523" s="29" t="n"/>
      <c r="E523" s="29" t="n"/>
      <c r="F523" s="29" t="n"/>
      <c r="G523" s="30" t="n"/>
      <c r="H523" s="31">
        <f>IF(G523="","",SUMIF(C$2:C523,"Masuk",G$2:G523)-SUMIF(C$2:C523,"Keluar",G$2:G523))</f>
        <v/>
      </c>
    </row>
    <row r="524">
      <c r="A524" s="22" t="n"/>
      <c r="B524" s="23" t="n"/>
      <c r="C524" s="24" t="n"/>
      <c r="D524" s="17" t="n"/>
      <c r="E524" s="17" t="n"/>
      <c r="F524" s="17" t="n"/>
      <c r="G524" s="15" t="n"/>
      <c r="H524" s="25">
        <f>IF(G524="","",SUMIF(C$2:C524,"Masuk",G$2:G524)-SUMIF(C$2:C524,"Keluar",G$2:G524))</f>
        <v/>
      </c>
    </row>
    <row r="525">
      <c r="A525" s="26" t="n"/>
      <c r="B525" s="27" t="n"/>
      <c r="C525" s="28" t="n"/>
      <c r="D525" s="29" t="n"/>
      <c r="E525" s="29" t="n"/>
      <c r="F525" s="29" t="n"/>
      <c r="G525" s="30" t="n"/>
      <c r="H525" s="31">
        <f>IF(G525="","",SUMIF(C$2:C525,"Masuk",G$2:G525)-SUMIF(C$2:C525,"Keluar",G$2:G525))</f>
        <v/>
      </c>
    </row>
    <row r="526">
      <c r="A526" s="22" t="n"/>
      <c r="B526" s="23" t="n"/>
      <c r="C526" s="24" t="n"/>
      <c r="D526" s="17" t="n"/>
      <c r="E526" s="17" t="n"/>
      <c r="F526" s="17" t="n"/>
      <c r="G526" s="15" t="n"/>
      <c r="H526" s="25">
        <f>IF(G526="","",SUMIF(C$2:C526,"Masuk",G$2:G526)-SUMIF(C$2:C526,"Keluar",G$2:G526))</f>
        <v/>
      </c>
    </row>
    <row r="527">
      <c r="A527" s="26" t="n"/>
      <c r="B527" s="27" t="n"/>
      <c r="C527" s="28" t="n"/>
      <c r="D527" s="29" t="n"/>
      <c r="E527" s="29" t="n"/>
      <c r="F527" s="29" t="n"/>
      <c r="G527" s="30" t="n"/>
      <c r="H527" s="31">
        <f>IF(G527="","",SUMIF(C$2:C527,"Masuk",G$2:G527)-SUMIF(C$2:C527,"Keluar",G$2:G527))</f>
        <v/>
      </c>
    </row>
    <row r="528">
      <c r="A528" s="22" t="n"/>
      <c r="B528" s="23" t="n"/>
      <c r="C528" s="24" t="n"/>
      <c r="D528" s="17" t="n"/>
      <c r="E528" s="17" t="n"/>
      <c r="F528" s="17" t="n"/>
      <c r="G528" s="15" t="n"/>
      <c r="H528" s="25">
        <f>IF(G528="","",SUMIF(C$2:C528,"Masuk",G$2:G528)-SUMIF(C$2:C528,"Keluar",G$2:G528))</f>
        <v/>
      </c>
    </row>
    <row r="529">
      <c r="A529" s="26" t="n"/>
      <c r="B529" s="27" t="n"/>
      <c r="C529" s="28" t="n"/>
      <c r="D529" s="29" t="n"/>
      <c r="E529" s="29" t="n"/>
      <c r="F529" s="29" t="n"/>
      <c r="G529" s="30" t="n"/>
      <c r="H529" s="31">
        <f>IF(G529="","",SUMIF(C$2:C529,"Masuk",G$2:G529)-SUMIF(C$2:C529,"Keluar",G$2:G529))</f>
        <v/>
      </c>
    </row>
    <row r="530">
      <c r="A530" s="22" t="n"/>
      <c r="B530" s="23" t="n"/>
      <c r="C530" s="24" t="n"/>
      <c r="D530" s="17" t="n"/>
      <c r="E530" s="17" t="n"/>
      <c r="F530" s="17" t="n"/>
      <c r="G530" s="15" t="n"/>
      <c r="H530" s="25">
        <f>IF(G530="","",SUMIF(C$2:C530,"Masuk",G$2:G530)-SUMIF(C$2:C530,"Keluar",G$2:G530))</f>
        <v/>
      </c>
    </row>
    <row r="531">
      <c r="A531" s="26" t="n"/>
      <c r="B531" s="27" t="n"/>
      <c r="C531" s="28" t="n"/>
      <c r="D531" s="29" t="n"/>
      <c r="E531" s="29" t="n"/>
      <c r="F531" s="29" t="n"/>
      <c r="G531" s="30" t="n"/>
      <c r="H531" s="31">
        <f>IF(G531="","",SUMIF(C$2:C531,"Masuk",G$2:G531)-SUMIF(C$2:C531,"Keluar",G$2:G531))</f>
        <v/>
      </c>
    </row>
    <row r="532">
      <c r="A532" s="22" t="n"/>
      <c r="B532" s="23" t="n"/>
      <c r="C532" s="24" t="n"/>
      <c r="D532" s="17" t="n"/>
      <c r="E532" s="17" t="n"/>
      <c r="F532" s="17" t="n"/>
      <c r="G532" s="15" t="n"/>
      <c r="H532" s="25">
        <f>IF(G532="","",SUMIF(C$2:C532,"Masuk",G$2:G532)-SUMIF(C$2:C532,"Keluar",G$2:G532))</f>
        <v/>
      </c>
    </row>
    <row r="533">
      <c r="A533" s="26" t="n"/>
      <c r="B533" s="27" t="n"/>
      <c r="C533" s="28" t="n"/>
      <c r="D533" s="29" t="n"/>
      <c r="E533" s="29" t="n"/>
      <c r="F533" s="29" t="n"/>
      <c r="G533" s="30" t="n"/>
      <c r="H533" s="31">
        <f>IF(G533="","",SUMIF(C$2:C533,"Masuk",G$2:G533)-SUMIF(C$2:C533,"Keluar",G$2:G533))</f>
        <v/>
      </c>
    </row>
    <row r="534">
      <c r="A534" s="22" t="n"/>
      <c r="B534" s="23" t="n"/>
      <c r="C534" s="24" t="n"/>
      <c r="D534" s="17" t="n"/>
      <c r="E534" s="17" t="n"/>
      <c r="F534" s="17" t="n"/>
      <c r="G534" s="15" t="n"/>
      <c r="H534" s="25">
        <f>IF(G534="","",SUMIF(C$2:C534,"Masuk",G$2:G534)-SUMIF(C$2:C534,"Keluar",G$2:G534))</f>
        <v/>
      </c>
    </row>
    <row r="535">
      <c r="A535" s="26" t="n"/>
      <c r="B535" s="27" t="n"/>
      <c r="C535" s="28" t="n"/>
      <c r="D535" s="29" t="n"/>
      <c r="E535" s="29" t="n"/>
      <c r="F535" s="29" t="n"/>
      <c r="G535" s="30" t="n"/>
      <c r="H535" s="31">
        <f>IF(G535="","",SUMIF(C$2:C535,"Masuk",G$2:G535)-SUMIF(C$2:C535,"Keluar",G$2:G535))</f>
        <v/>
      </c>
    </row>
    <row r="536">
      <c r="A536" s="22" t="n"/>
      <c r="B536" s="23" t="n"/>
      <c r="C536" s="24" t="n"/>
      <c r="D536" s="17" t="n"/>
      <c r="E536" s="17" t="n"/>
      <c r="F536" s="17" t="n"/>
      <c r="G536" s="15" t="n"/>
      <c r="H536" s="25">
        <f>IF(G536="","",SUMIF(C$2:C536,"Masuk",G$2:G536)-SUMIF(C$2:C536,"Keluar",G$2:G536))</f>
        <v/>
      </c>
    </row>
    <row r="537">
      <c r="A537" s="26" t="n"/>
      <c r="B537" s="27" t="n"/>
      <c r="C537" s="28" t="n"/>
      <c r="D537" s="29" t="n"/>
      <c r="E537" s="29" t="n"/>
      <c r="F537" s="29" t="n"/>
      <c r="G537" s="30" t="n"/>
      <c r="H537" s="31">
        <f>IF(G537="","",SUMIF(C$2:C537,"Masuk",G$2:G537)-SUMIF(C$2:C537,"Keluar",G$2:G537))</f>
        <v/>
      </c>
    </row>
    <row r="538">
      <c r="A538" s="22" t="n"/>
      <c r="B538" s="23" t="n"/>
      <c r="C538" s="24" t="n"/>
      <c r="D538" s="17" t="n"/>
      <c r="E538" s="17" t="n"/>
      <c r="F538" s="17" t="n"/>
      <c r="G538" s="15" t="n"/>
      <c r="H538" s="25">
        <f>IF(G538="","",SUMIF(C$2:C538,"Masuk",G$2:G538)-SUMIF(C$2:C538,"Keluar",G$2:G538))</f>
        <v/>
      </c>
    </row>
    <row r="539">
      <c r="A539" s="26" t="n"/>
      <c r="B539" s="27" t="n"/>
      <c r="C539" s="28" t="n"/>
      <c r="D539" s="29" t="n"/>
      <c r="E539" s="29" t="n"/>
      <c r="F539" s="29" t="n"/>
      <c r="G539" s="30" t="n"/>
      <c r="H539" s="31">
        <f>IF(G539="","",SUMIF(C$2:C539,"Masuk",G$2:G539)-SUMIF(C$2:C539,"Keluar",G$2:G539))</f>
        <v/>
      </c>
    </row>
    <row r="540">
      <c r="A540" s="22" t="n"/>
      <c r="B540" s="23" t="n"/>
      <c r="C540" s="24" t="n"/>
      <c r="D540" s="17" t="n"/>
      <c r="E540" s="17" t="n"/>
      <c r="F540" s="17" t="n"/>
      <c r="G540" s="15" t="n"/>
      <c r="H540" s="25">
        <f>IF(G540="","",SUMIF(C$2:C540,"Masuk",G$2:G540)-SUMIF(C$2:C540,"Keluar",G$2:G540))</f>
        <v/>
      </c>
    </row>
    <row r="541">
      <c r="A541" s="26" t="n"/>
      <c r="B541" s="27" t="n"/>
      <c r="C541" s="28" t="n"/>
      <c r="D541" s="29" t="n"/>
      <c r="E541" s="29" t="n"/>
      <c r="F541" s="29" t="n"/>
      <c r="G541" s="30" t="n"/>
      <c r="H541" s="31">
        <f>IF(G541="","",SUMIF(C$2:C541,"Masuk",G$2:G541)-SUMIF(C$2:C541,"Keluar",G$2:G541))</f>
        <v/>
      </c>
    </row>
    <row r="542">
      <c r="A542" s="22" t="n"/>
      <c r="B542" s="23" t="n"/>
      <c r="C542" s="24" t="n"/>
      <c r="D542" s="17" t="n"/>
      <c r="E542" s="17" t="n"/>
      <c r="F542" s="17" t="n"/>
      <c r="G542" s="15" t="n"/>
      <c r="H542" s="25">
        <f>IF(G542="","",SUMIF(C$2:C542,"Masuk",G$2:G542)-SUMIF(C$2:C542,"Keluar",G$2:G542))</f>
        <v/>
      </c>
    </row>
    <row r="543">
      <c r="A543" s="26" t="n"/>
      <c r="B543" s="27" t="n"/>
      <c r="C543" s="28" t="n"/>
      <c r="D543" s="29" t="n"/>
      <c r="E543" s="29" t="n"/>
      <c r="F543" s="29" t="n"/>
      <c r="G543" s="30" t="n"/>
      <c r="H543" s="31">
        <f>IF(G543="","",SUMIF(C$2:C543,"Masuk",G$2:G543)-SUMIF(C$2:C543,"Keluar",G$2:G543))</f>
        <v/>
      </c>
    </row>
    <row r="544">
      <c r="A544" s="22" t="n"/>
      <c r="B544" s="23" t="n"/>
      <c r="C544" s="24" t="n"/>
      <c r="D544" s="17" t="n"/>
      <c r="E544" s="17" t="n"/>
      <c r="F544" s="17" t="n"/>
      <c r="G544" s="15" t="n"/>
      <c r="H544" s="25">
        <f>IF(G544="","",SUMIF(C$2:C544,"Masuk",G$2:G544)-SUMIF(C$2:C544,"Keluar",G$2:G544))</f>
        <v/>
      </c>
    </row>
    <row r="545">
      <c r="A545" s="26" t="n"/>
      <c r="B545" s="27" t="n"/>
      <c r="C545" s="28" t="n"/>
      <c r="D545" s="29" t="n"/>
      <c r="E545" s="29" t="n"/>
      <c r="F545" s="29" t="n"/>
      <c r="G545" s="30" t="n"/>
      <c r="H545" s="31">
        <f>IF(G545="","",SUMIF(C$2:C545,"Masuk",G$2:G545)-SUMIF(C$2:C545,"Keluar",G$2:G545))</f>
        <v/>
      </c>
    </row>
    <row r="546">
      <c r="A546" s="22" t="n"/>
      <c r="B546" s="23" t="n"/>
      <c r="C546" s="24" t="n"/>
      <c r="D546" s="17" t="n"/>
      <c r="E546" s="17" t="n"/>
      <c r="F546" s="17" t="n"/>
      <c r="G546" s="15" t="n"/>
      <c r="H546" s="25">
        <f>IF(G546="","",SUMIF(C$2:C546,"Masuk",G$2:G546)-SUMIF(C$2:C546,"Keluar",G$2:G546))</f>
        <v/>
      </c>
    </row>
    <row r="547">
      <c r="A547" s="26" t="n"/>
      <c r="B547" s="27" t="n"/>
      <c r="C547" s="28" t="n"/>
      <c r="D547" s="29" t="n"/>
      <c r="E547" s="29" t="n"/>
      <c r="F547" s="29" t="n"/>
      <c r="G547" s="30" t="n"/>
      <c r="H547" s="31">
        <f>IF(G547="","",SUMIF(C$2:C547,"Masuk",G$2:G547)-SUMIF(C$2:C547,"Keluar",G$2:G547))</f>
        <v/>
      </c>
    </row>
    <row r="548">
      <c r="A548" s="22" t="n"/>
      <c r="B548" s="23" t="n"/>
      <c r="C548" s="24" t="n"/>
      <c r="D548" s="17" t="n"/>
      <c r="E548" s="17" t="n"/>
      <c r="F548" s="17" t="n"/>
      <c r="G548" s="15" t="n"/>
      <c r="H548" s="25">
        <f>IF(G548="","",SUMIF(C$2:C548,"Masuk",G$2:G548)-SUMIF(C$2:C548,"Keluar",G$2:G548))</f>
        <v/>
      </c>
    </row>
    <row r="549">
      <c r="A549" s="26" t="n"/>
      <c r="B549" s="27" t="n"/>
      <c r="C549" s="28" t="n"/>
      <c r="D549" s="29" t="n"/>
      <c r="E549" s="29" t="n"/>
      <c r="F549" s="29" t="n"/>
      <c r="G549" s="30" t="n"/>
      <c r="H549" s="31">
        <f>IF(G549="","",SUMIF(C$2:C549,"Masuk",G$2:G549)-SUMIF(C$2:C549,"Keluar",G$2:G549))</f>
        <v/>
      </c>
    </row>
    <row r="550">
      <c r="A550" s="22" t="n"/>
      <c r="B550" s="23" t="n"/>
      <c r="C550" s="24" t="n"/>
      <c r="D550" s="17" t="n"/>
      <c r="E550" s="17" t="n"/>
      <c r="F550" s="17" t="n"/>
      <c r="G550" s="15" t="n"/>
      <c r="H550" s="25">
        <f>IF(G550="","",SUMIF(C$2:C550,"Masuk",G$2:G550)-SUMIF(C$2:C550,"Keluar",G$2:G550))</f>
        <v/>
      </c>
    </row>
    <row r="551">
      <c r="A551" s="26" t="n"/>
      <c r="B551" s="27" t="n"/>
      <c r="C551" s="28" t="n"/>
      <c r="D551" s="29" t="n"/>
      <c r="E551" s="29" t="n"/>
      <c r="F551" s="29" t="n"/>
      <c r="G551" s="30" t="n"/>
      <c r="H551" s="31">
        <f>IF(G551="","",SUMIF(C$2:C551,"Masuk",G$2:G551)-SUMIF(C$2:C551,"Keluar",G$2:G551))</f>
        <v/>
      </c>
    </row>
    <row r="552">
      <c r="A552" s="22" t="n"/>
      <c r="B552" s="23" t="n"/>
      <c r="C552" s="24" t="n"/>
      <c r="D552" s="17" t="n"/>
      <c r="E552" s="17" t="n"/>
      <c r="F552" s="17" t="n"/>
      <c r="G552" s="15" t="n"/>
      <c r="H552" s="25">
        <f>IF(G552="","",SUMIF(C$2:C552,"Masuk",G$2:G552)-SUMIF(C$2:C552,"Keluar",G$2:G552))</f>
        <v/>
      </c>
    </row>
    <row r="553">
      <c r="A553" s="26" t="n"/>
      <c r="B553" s="27" t="n"/>
      <c r="C553" s="28" t="n"/>
      <c r="D553" s="29" t="n"/>
      <c r="E553" s="29" t="n"/>
      <c r="F553" s="29" t="n"/>
      <c r="G553" s="30" t="n"/>
      <c r="H553" s="31">
        <f>IF(G553="","",SUMIF(C$2:C553,"Masuk",G$2:G553)-SUMIF(C$2:C553,"Keluar",G$2:G553))</f>
        <v/>
      </c>
    </row>
    <row r="554">
      <c r="A554" s="22" t="n"/>
      <c r="B554" s="23" t="n"/>
      <c r="C554" s="24" t="n"/>
      <c r="D554" s="17" t="n"/>
      <c r="E554" s="17" t="n"/>
      <c r="F554" s="17" t="n"/>
      <c r="G554" s="15" t="n"/>
      <c r="H554" s="25">
        <f>IF(G554="","",SUMIF(C$2:C554,"Masuk",G$2:G554)-SUMIF(C$2:C554,"Keluar",G$2:G554))</f>
        <v/>
      </c>
    </row>
    <row r="555">
      <c r="A555" s="26" t="n"/>
      <c r="B555" s="27" t="n"/>
      <c r="C555" s="28" t="n"/>
      <c r="D555" s="29" t="n"/>
      <c r="E555" s="29" t="n"/>
      <c r="F555" s="29" t="n"/>
      <c r="G555" s="30" t="n"/>
      <c r="H555" s="31">
        <f>IF(G555="","",SUMIF(C$2:C555,"Masuk",G$2:G555)-SUMIF(C$2:C555,"Keluar",G$2:G555))</f>
        <v/>
      </c>
    </row>
    <row r="556">
      <c r="A556" s="22" t="n"/>
      <c r="B556" s="23" t="n"/>
      <c r="C556" s="24" t="n"/>
      <c r="D556" s="17" t="n"/>
      <c r="E556" s="17" t="n"/>
      <c r="F556" s="17" t="n"/>
      <c r="G556" s="15" t="n"/>
      <c r="H556" s="25">
        <f>IF(G556="","",SUMIF(C$2:C556,"Masuk",G$2:G556)-SUMIF(C$2:C556,"Keluar",G$2:G556))</f>
        <v/>
      </c>
    </row>
    <row r="557">
      <c r="A557" s="26" t="n"/>
      <c r="B557" s="27" t="n"/>
      <c r="C557" s="28" t="n"/>
      <c r="D557" s="29" t="n"/>
      <c r="E557" s="29" t="n"/>
      <c r="F557" s="29" t="n"/>
      <c r="G557" s="30" t="n"/>
      <c r="H557" s="31">
        <f>IF(G557="","",SUMIF(C$2:C557,"Masuk",G$2:G557)-SUMIF(C$2:C557,"Keluar",G$2:G557))</f>
        <v/>
      </c>
    </row>
    <row r="558">
      <c r="A558" s="22" t="n"/>
      <c r="B558" s="23" t="n"/>
      <c r="C558" s="24" t="n"/>
      <c r="D558" s="17" t="n"/>
      <c r="E558" s="17" t="n"/>
      <c r="F558" s="17" t="n"/>
      <c r="G558" s="15" t="n"/>
      <c r="H558" s="25">
        <f>IF(G558="","",SUMIF(C$2:C558,"Masuk",G$2:G558)-SUMIF(C$2:C558,"Keluar",G$2:G558))</f>
        <v/>
      </c>
    </row>
    <row r="559">
      <c r="A559" s="26" t="n"/>
      <c r="B559" s="27" t="n"/>
      <c r="C559" s="28" t="n"/>
      <c r="D559" s="29" t="n"/>
      <c r="E559" s="29" t="n"/>
      <c r="F559" s="29" t="n"/>
      <c r="G559" s="30" t="n"/>
      <c r="H559" s="31">
        <f>IF(G559="","",SUMIF(C$2:C559,"Masuk",G$2:G559)-SUMIF(C$2:C559,"Keluar",G$2:G559))</f>
        <v/>
      </c>
    </row>
    <row r="560">
      <c r="A560" s="22" t="n"/>
      <c r="B560" s="23" t="n"/>
      <c r="C560" s="24" t="n"/>
      <c r="D560" s="17" t="n"/>
      <c r="E560" s="17" t="n"/>
      <c r="F560" s="17" t="n"/>
      <c r="G560" s="15" t="n"/>
      <c r="H560" s="25">
        <f>IF(G560="","",SUMIF(C$2:C560,"Masuk",G$2:G560)-SUMIF(C$2:C560,"Keluar",G$2:G560))</f>
        <v/>
      </c>
    </row>
    <row r="561">
      <c r="A561" s="26" t="n"/>
      <c r="B561" s="27" t="n"/>
      <c r="C561" s="28" t="n"/>
      <c r="D561" s="29" t="n"/>
      <c r="E561" s="29" t="n"/>
      <c r="F561" s="29" t="n"/>
      <c r="G561" s="30" t="n"/>
      <c r="H561" s="31">
        <f>IF(G561="","",SUMIF(C$2:C561,"Masuk",G$2:G561)-SUMIF(C$2:C561,"Keluar",G$2:G561))</f>
        <v/>
      </c>
    </row>
    <row r="562">
      <c r="A562" s="22" t="n"/>
      <c r="B562" s="23" t="n"/>
      <c r="C562" s="24" t="n"/>
      <c r="D562" s="17" t="n"/>
      <c r="E562" s="17" t="n"/>
      <c r="F562" s="17" t="n"/>
      <c r="G562" s="15" t="n"/>
      <c r="H562" s="25">
        <f>IF(G562="","",SUMIF(C$2:C562,"Masuk",G$2:G562)-SUMIF(C$2:C562,"Keluar",G$2:G562))</f>
        <v/>
      </c>
    </row>
    <row r="563">
      <c r="A563" s="26" t="n"/>
      <c r="B563" s="27" t="n"/>
      <c r="C563" s="28" t="n"/>
      <c r="D563" s="29" t="n"/>
      <c r="E563" s="29" t="n"/>
      <c r="F563" s="29" t="n"/>
      <c r="G563" s="30" t="n"/>
      <c r="H563" s="31">
        <f>IF(G563="","",SUMIF(C$2:C563,"Masuk",G$2:G563)-SUMIF(C$2:C563,"Keluar",G$2:G563))</f>
        <v/>
      </c>
    </row>
    <row r="564">
      <c r="A564" s="22" t="n"/>
      <c r="B564" s="23" t="n"/>
      <c r="C564" s="24" t="n"/>
      <c r="D564" s="17" t="n"/>
      <c r="E564" s="17" t="n"/>
      <c r="F564" s="17" t="n"/>
      <c r="G564" s="15" t="n"/>
      <c r="H564" s="25">
        <f>IF(G564="","",SUMIF(C$2:C564,"Masuk",G$2:G564)-SUMIF(C$2:C564,"Keluar",G$2:G564))</f>
        <v/>
      </c>
    </row>
    <row r="565">
      <c r="A565" s="26" t="n"/>
      <c r="B565" s="27" t="n"/>
      <c r="C565" s="28" t="n"/>
      <c r="D565" s="29" t="n"/>
      <c r="E565" s="29" t="n"/>
      <c r="F565" s="29" t="n"/>
      <c r="G565" s="30" t="n"/>
      <c r="H565" s="31">
        <f>IF(G565="","",SUMIF(C$2:C565,"Masuk",G$2:G565)-SUMIF(C$2:C565,"Keluar",G$2:G565))</f>
        <v/>
      </c>
    </row>
    <row r="566">
      <c r="A566" s="22" t="n"/>
      <c r="B566" s="23" t="n"/>
      <c r="C566" s="24" t="n"/>
      <c r="D566" s="17" t="n"/>
      <c r="E566" s="17" t="n"/>
      <c r="F566" s="17" t="n"/>
      <c r="G566" s="15" t="n"/>
      <c r="H566" s="25">
        <f>IF(G566="","",SUMIF(C$2:C566,"Masuk",G$2:G566)-SUMIF(C$2:C566,"Keluar",G$2:G566))</f>
        <v/>
      </c>
    </row>
    <row r="567">
      <c r="A567" s="26" t="n"/>
      <c r="B567" s="27" t="n"/>
      <c r="C567" s="28" t="n"/>
      <c r="D567" s="29" t="n"/>
      <c r="E567" s="29" t="n"/>
      <c r="F567" s="29" t="n"/>
      <c r="G567" s="30" t="n"/>
      <c r="H567" s="31">
        <f>IF(G567="","",SUMIF(C$2:C567,"Masuk",G$2:G567)-SUMIF(C$2:C567,"Keluar",G$2:G567))</f>
        <v/>
      </c>
    </row>
    <row r="568">
      <c r="A568" s="22" t="n"/>
      <c r="B568" s="23" t="n"/>
      <c r="C568" s="24" t="n"/>
      <c r="D568" s="17" t="n"/>
      <c r="E568" s="17" t="n"/>
      <c r="F568" s="17" t="n"/>
      <c r="G568" s="15" t="n"/>
      <c r="H568" s="25">
        <f>IF(G568="","",SUMIF(C$2:C568,"Masuk",G$2:G568)-SUMIF(C$2:C568,"Keluar",G$2:G568))</f>
        <v/>
      </c>
    </row>
    <row r="569">
      <c r="A569" s="26" t="n"/>
      <c r="B569" s="27" t="n"/>
      <c r="C569" s="28" t="n"/>
      <c r="D569" s="29" t="n"/>
      <c r="E569" s="29" t="n"/>
      <c r="F569" s="29" t="n"/>
      <c r="G569" s="30" t="n"/>
      <c r="H569" s="31">
        <f>IF(G569="","",SUMIF(C$2:C569,"Masuk",G$2:G569)-SUMIF(C$2:C569,"Keluar",G$2:G569))</f>
        <v/>
      </c>
    </row>
    <row r="570">
      <c r="A570" s="22" t="n"/>
      <c r="B570" s="23" t="n"/>
      <c r="C570" s="24" t="n"/>
      <c r="D570" s="17" t="n"/>
      <c r="E570" s="17" t="n"/>
      <c r="F570" s="17" t="n"/>
      <c r="G570" s="15" t="n"/>
      <c r="H570" s="25">
        <f>IF(G570="","",SUMIF(C$2:C570,"Masuk",G$2:G570)-SUMIF(C$2:C570,"Keluar",G$2:G570))</f>
        <v/>
      </c>
    </row>
    <row r="571">
      <c r="A571" s="26" t="n"/>
      <c r="B571" s="27" t="n"/>
      <c r="C571" s="28" t="n"/>
      <c r="D571" s="29" t="n"/>
      <c r="E571" s="29" t="n"/>
      <c r="F571" s="29" t="n"/>
      <c r="G571" s="30" t="n"/>
      <c r="H571" s="31">
        <f>IF(G571="","",SUMIF(C$2:C571,"Masuk",G$2:G571)-SUMIF(C$2:C571,"Keluar",G$2:G571))</f>
        <v/>
      </c>
    </row>
    <row r="572">
      <c r="A572" s="22" t="n"/>
      <c r="B572" s="23" t="n"/>
      <c r="C572" s="24" t="n"/>
      <c r="D572" s="17" t="n"/>
      <c r="E572" s="17" t="n"/>
      <c r="F572" s="17" t="n"/>
      <c r="G572" s="15" t="n"/>
      <c r="H572" s="25">
        <f>IF(G572="","",SUMIF(C$2:C572,"Masuk",G$2:G572)-SUMIF(C$2:C572,"Keluar",G$2:G572))</f>
        <v/>
      </c>
    </row>
    <row r="573">
      <c r="A573" s="26" t="n"/>
      <c r="B573" s="27" t="n"/>
      <c r="C573" s="28" t="n"/>
      <c r="D573" s="29" t="n"/>
      <c r="E573" s="29" t="n"/>
      <c r="F573" s="29" t="n"/>
      <c r="G573" s="30" t="n"/>
      <c r="H573" s="31">
        <f>IF(G573="","",SUMIF(C$2:C573,"Masuk",G$2:G573)-SUMIF(C$2:C573,"Keluar",G$2:G573))</f>
        <v/>
      </c>
    </row>
    <row r="574">
      <c r="A574" s="22" t="n"/>
      <c r="B574" s="23" t="n"/>
      <c r="C574" s="24" t="n"/>
      <c r="D574" s="17" t="n"/>
      <c r="E574" s="17" t="n"/>
      <c r="F574" s="17" t="n"/>
      <c r="G574" s="15" t="n"/>
      <c r="H574" s="25">
        <f>IF(G574="","",SUMIF(C$2:C574,"Masuk",G$2:G574)-SUMIF(C$2:C574,"Keluar",G$2:G574))</f>
        <v/>
      </c>
    </row>
    <row r="575">
      <c r="A575" s="26" t="n"/>
      <c r="B575" s="27" t="n"/>
      <c r="C575" s="28" t="n"/>
      <c r="D575" s="29" t="n"/>
      <c r="E575" s="29" t="n"/>
      <c r="F575" s="29" t="n"/>
      <c r="G575" s="30" t="n"/>
      <c r="H575" s="31">
        <f>IF(G575="","",SUMIF(C$2:C575,"Masuk",G$2:G575)-SUMIF(C$2:C575,"Keluar",G$2:G575))</f>
        <v/>
      </c>
    </row>
    <row r="576">
      <c r="A576" s="22" t="n"/>
      <c r="B576" s="23" t="n"/>
      <c r="C576" s="24" t="n"/>
      <c r="D576" s="17" t="n"/>
      <c r="E576" s="17" t="n"/>
      <c r="F576" s="17" t="n"/>
      <c r="G576" s="15" t="n"/>
      <c r="H576" s="25">
        <f>IF(G576="","",SUMIF(C$2:C576,"Masuk",G$2:G576)-SUMIF(C$2:C576,"Keluar",G$2:G576))</f>
        <v/>
      </c>
    </row>
    <row r="577">
      <c r="A577" s="26" t="n"/>
      <c r="B577" s="27" t="n"/>
      <c r="C577" s="28" t="n"/>
      <c r="D577" s="29" t="n"/>
      <c r="E577" s="29" t="n"/>
      <c r="F577" s="29" t="n"/>
      <c r="G577" s="30" t="n"/>
      <c r="H577" s="31">
        <f>IF(G577="","",SUMIF(C$2:C577,"Masuk",G$2:G577)-SUMIF(C$2:C577,"Keluar",G$2:G577))</f>
        <v/>
      </c>
    </row>
    <row r="578">
      <c r="A578" s="22" t="n"/>
      <c r="B578" s="23" t="n"/>
      <c r="C578" s="24" t="n"/>
      <c r="D578" s="17" t="n"/>
      <c r="E578" s="17" t="n"/>
      <c r="F578" s="17" t="n"/>
      <c r="G578" s="15" t="n"/>
      <c r="H578" s="25">
        <f>IF(G578="","",SUMIF(C$2:C578,"Masuk",G$2:G578)-SUMIF(C$2:C578,"Keluar",G$2:G578))</f>
        <v/>
      </c>
    </row>
    <row r="579">
      <c r="A579" s="26" t="n"/>
      <c r="B579" s="27" t="n"/>
      <c r="C579" s="28" t="n"/>
      <c r="D579" s="29" t="n"/>
      <c r="E579" s="29" t="n"/>
      <c r="F579" s="29" t="n"/>
      <c r="G579" s="30" t="n"/>
      <c r="H579" s="31">
        <f>IF(G579="","",SUMIF(C$2:C579,"Masuk",G$2:G579)-SUMIF(C$2:C579,"Keluar",G$2:G579))</f>
        <v/>
      </c>
    </row>
    <row r="580">
      <c r="A580" s="22" t="n"/>
      <c r="B580" s="23" t="n"/>
      <c r="C580" s="24" t="n"/>
      <c r="D580" s="17" t="n"/>
      <c r="E580" s="17" t="n"/>
      <c r="F580" s="17" t="n"/>
      <c r="G580" s="15" t="n"/>
      <c r="H580" s="25">
        <f>IF(G580="","",SUMIF(C$2:C580,"Masuk",G$2:G580)-SUMIF(C$2:C580,"Keluar",G$2:G580))</f>
        <v/>
      </c>
    </row>
    <row r="581">
      <c r="A581" s="26" t="n"/>
      <c r="B581" s="27" t="n"/>
      <c r="C581" s="28" t="n"/>
      <c r="D581" s="29" t="n"/>
      <c r="E581" s="29" t="n"/>
      <c r="F581" s="29" t="n"/>
      <c r="G581" s="30" t="n"/>
      <c r="H581" s="31">
        <f>IF(G581="","",SUMIF(C$2:C581,"Masuk",G$2:G581)-SUMIF(C$2:C581,"Keluar",G$2:G581))</f>
        <v/>
      </c>
    </row>
    <row r="582">
      <c r="A582" s="22" t="n"/>
      <c r="B582" s="23" t="n"/>
      <c r="C582" s="24" t="n"/>
      <c r="D582" s="17" t="n"/>
      <c r="E582" s="17" t="n"/>
      <c r="F582" s="17" t="n"/>
      <c r="G582" s="15" t="n"/>
      <c r="H582" s="25">
        <f>IF(G582="","",SUMIF(C$2:C582,"Masuk",G$2:G582)-SUMIF(C$2:C582,"Keluar",G$2:G582))</f>
        <v/>
      </c>
    </row>
    <row r="583">
      <c r="A583" s="26" t="n"/>
      <c r="B583" s="27" t="n"/>
      <c r="C583" s="28" t="n"/>
      <c r="D583" s="29" t="n"/>
      <c r="E583" s="29" t="n"/>
      <c r="F583" s="29" t="n"/>
      <c r="G583" s="30" t="n"/>
      <c r="H583" s="31">
        <f>IF(G583="","",SUMIF(C$2:C583,"Masuk",G$2:G583)-SUMIF(C$2:C583,"Keluar",G$2:G583))</f>
        <v/>
      </c>
    </row>
    <row r="584">
      <c r="A584" s="22" t="n"/>
      <c r="B584" s="23" t="n"/>
      <c r="C584" s="24" t="n"/>
      <c r="D584" s="17" t="n"/>
      <c r="E584" s="17" t="n"/>
      <c r="F584" s="17" t="n"/>
      <c r="G584" s="15" t="n"/>
      <c r="H584" s="25">
        <f>IF(G584="","",SUMIF(C$2:C584,"Masuk",G$2:G584)-SUMIF(C$2:C584,"Keluar",G$2:G584))</f>
        <v/>
      </c>
    </row>
    <row r="585">
      <c r="A585" s="26" t="n"/>
      <c r="B585" s="27" t="n"/>
      <c r="C585" s="28" t="n"/>
      <c r="D585" s="29" t="n"/>
      <c r="E585" s="29" t="n"/>
      <c r="F585" s="29" t="n"/>
      <c r="G585" s="30" t="n"/>
      <c r="H585" s="31">
        <f>IF(G585="","",SUMIF(C$2:C585,"Masuk",G$2:G585)-SUMIF(C$2:C585,"Keluar",G$2:G585))</f>
        <v/>
      </c>
    </row>
    <row r="586">
      <c r="A586" s="22" t="n"/>
      <c r="B586" s="23" t="n"/>
      <c r="C586" s="24" t="n"/>
      <c r="D586" s="17" t="n"/>
      <c r="E586" s="17" t="n"/>
      <c r="F586" s="17" t="n"/>
      <c r="G586" s="15" t="n"/>
      <c r="H586" s="25">
        <f>IF(G586="","",SUMIF(C$2:C586,"Masuk",G$2:G586)-SUMIF(C$2:C586,"Keluar",G$2:G586))</f>
        <v/>
      </c>
    </row>
    <row r="587">
      <c r="A587" s="26" t="n"/>
      <c r="B587" s="27" t="n"/>
      <c r="C587" s="28" t="n"/>
      <c r="D587" s="29" t="n"/>
      <c r="E587" s="29" t="n"/>
      <c r="F587" s="29" t="n"/>
      <c r="G587" s="30" t="n"/>
      <c r="H587" s="31">
        <f>IF(G587="","",SUMIF(C$2:C587,"Masuk",G$2:G587)-SUMIF(C$2:C587,"Keluar",G$2:G587))</f>
        <v/>
      </c>
    </row>
    <row r="588">
      <c r="A588" s="22" t="n"/>
      <c r="B588" s="23" t="n"/>
      <c r="C588" s="24" t="n"/>
      <c r="D588" s="17" t="n"/>
      <c r="E588" s="17" t="n"/>
      <c r="F588" s="17" t="n"/>
      <c r="G588" s="15" t="n"/>
      <c r="H588" s="25">
        <f>IF(G588="","",SUMIF(C$2:C588,"Masuk",G$2:G588)-SUMIF(C$2:C588,"Keluar",G$2:G588))</f>
        <v/>
      </c>
    </row>
    <row r="589">
      <c r="A589" s="26" t="n"/>
      <c r="B589" s="27" t="n"/>
      <c r="C589" s="28" t="n"/>
      <c r="D589" s="29" t="n"/>
      <c r="E589" s="29" t="n"/>
      <c r="F589" s="29" t="n"/>
      <c r="G589" s="30" t="n"/>
      <c r="H589" s="31">
        <f>IF(G589="","",SUMIF(C$2:C589,"Masuk",G$2:G589)-SUMIF(C$2:C589,"Keluar",G$2:G589))</f>
        <v/>
      </c>
    </row>
    <row r="590">
      <c r="A590" s="22" t="n"/>
      <c r="B590" s="23" t="n"/>
      <c r="C590" s="24" t="n"/>
      <c r="D590" s="17" t="n"/>
      <c r="E590" s="17" t="n"/>
      <c r="F590" s="17" t="n"/>
      <c r="G590" s="15" t="n"/>
      <c r="H590" s="25">
        <f>IF(G590="","",SUMIF(C$2:C590,"Masuk",G$2:G590)-SUMIF(C$2:C590,"Keluar",G$2:G590))</f>
        <v/>
      </c>
    </row>
    <row r="591">
      <c r="A591" s="26" t="n"/>
      <c r="B591" s="27" t="n"/>
      <c r="C591" s="28" t="n"/>
      <c r="D591" s="29" t="n"/>
      <c r="E591" s="29" t="n"/>
      <c r="F591" s="29" t="n"/>
      <c r="G591" s="30" t="n"/>
      <c r="H591" s="31">
        <f>IF(G591="","",SUMIF(C$2:C591,"Masuk",G$2:G591)-SUMIF(C$2:C591,"Keluar",G$2:G591))</f>
        <v/>
      </c>
    </row>
    <row r="592">
      <c r="A592" s="22" t="n"/>
      <c r="B592" s="23" t="n"/>
      <c r="C592" s="24" t="n"/>
      <c r="D592" s="17" t="n"/>
      <c r="E592" s="17" t="n"/>
      <c r="F592" s="17" t="n"/>
      <c r="G592" s="15" t="n"/>
      <c r="H592" s="25">
        <f>IF(G592="","",SUMIF(C$2:C592,"Masuk",G$2:G592)-SUMIF(C$2:C592,"Keluar",G$2:G592))</f>
        <v/>
      </c>
    </row>
    <row r="593">
      <c r="A593" s="26" t="n"/>
      <c r="B593" s="27" t="n"/>
      <c r="C593" s="28" t="n"/>
      <c r="D593" s="29" t="n"/>
      <c r="E593" s="29" t="n"/>
      <c r="F593" s="29" t="n"/>
      <c r="G593" s="30" t="n"/>
      <c r="H593" s="31">
        <f>IF(G593="","",SUMIF(C$2:C593,"Masuk",G$2:G593)-SUMIF(C$2:C593,"Keluar",G$2:G593))</f>
        <v/>
      </c>
    </row>
    <row r="594">
      <c r="A594" s="22" t="n"/>
      <c r="B594" s="23" t="n"/>
      <c r="C594" s="24" t="n"/>
      <c r="D594" s="17" t="n"/>
      <c r="E594" s="17" t="n"/>
      <c r="F594" s="17" t="n"/>
      <c r="G594" s="15" t="n"/>
      <c r="H594" s="25">
        <f>IF(G594="","",SUMIF(C$2:C594,"Masuk",G$2:G594)-SUMIF(C$2:C594,"Keluar",G$2:G594))</f>
        <v/>
      </c>
    </row>
    <row r="595">
      <c r="A595" s="26" t="n"/>
      <c r="B595" s="27" t="n"/>
      <c r="C595" s="28" t="n"/>
      <c r="D595" s="29" t="n"/>
      <c r="E595" s="29" t="n"/>
      <c r="F595" s="29" t="n"/>
      <c r="G595" s="30" t="n"/>
      <c r="H595" s="31">
        <f>IF(G595="","",SUMIF(C$2:C595,"Masuk",G$2:G595)-SUMIF(C$2:C595,"Keluar",G$2:G595))</f>
        <v/>
      </c>
    </row>
    <row r="596">
      <c r="A596" s="22" t="n"/>
      <c r="B596" s="23" t="n"/>
      <c r="C596" s="24" t="n"/>
      <c r="D596" s="17" t="n"/>
      <c r="E596" s="17" t="n"/>
      <c r="F596" s="17" t="n"/>
      <c r="G596" s="15" t="n"/>
      <c r="H596" s="25">
        <f>IF(G596="","",SUMIF(C$2:C596,"Masuk",G$2:G596)-SUMIF(C$2:C596,"Keluar",G$2:G596))</f>
        <v/>
      </c>
    </row>
    <row r="597">
      <c r="A597" s="26" t="n"/>
      <c r="B597" s="27" t="n"/>
      <c r="C597" s="28" t="n"/>
      <c r="D597" s="29" t="n"/>
      <c r="E597" s="29" t="n"/>
      <c r="F597" s="29" t="n"/>
      <c r="G597" s="30" t="n"/>
      <c r="H597" s="31">
        <f>IF(G597="","",SUMIF(C$2:C597,"Masuk",G$2:G597)-SUMIF(C$2:C597,"Keluar",G$2:G597))</f>
        <v/>
      </c>
    </row>
    <row r="598">
      <c r="A598" s="22" t="n"/>
      <c r="B598" s="23" t="n"/>
      <c r="C598" s="24" t="n"/>
      <c r="D598" s="17" t="n"/>
      <c r="E598" s="17" t="n"/>
      <c r="F598" s="17" t="n"/>
      <c r="G598" s="15" t="n"/>
      <c r="H598" s="25">
        <f>IF(G598="","",SUMIF(C$2:C598,"Masuk",G$2:G598)-SUMIF(C$2:C598,"Keluar",G$2:G598))</f>
        <v/>
      </c>
    </row>
    <row r="599">
      <c r="A599" s="26" t="n"/>
      <c r="B599" s="27" t="n"/>
      <c r="C599" s="28" t="n"/>
      <c r="D599" s="29" t="n"/>
      <c r="E599" s="29" t="n"/>
      <c r="F599" s="29" t="n"/>
      <c r="G599" s="30" t="n"/>
      <c r="H599" s="31">
        <f>IF(G599="","",SUMIF(C$2:C599,"Masuk",G$2:G599)-SUMIF(C$2:C599,"Keluar",G$2:G599))</f>
        <v/>
      </c>
    </row>
    <row r="600">
      <c r="A600" s="22" t="n"/>
      <c r="B600" s="23" t="n"/>
      <c r="C600" s="24" t="n"/>
      <c r="D600" s="17" t="n"/>
      <c r="E600" s="17" t="n"/>
      <c r="F600" s="17" t="n"/>
      <c r="G600" s="15" t="n"/>
      <c r="H600" s="25">
        <f>IF(G600="","",SUMIF(C$2:C600,"Masuk",G$2:G600)-SUMIF(C$2:C600,"Keluar",G$2:G600))</f>
        <v/>
      </c>
    </row>
    <row r="601">
      <c r="A601" s="26" t="n"/>
      <c r="B601" s="27" t="n"/>
      <c r="C601" s="28" t="n"/>
      <c r="D601" s="29" t="n"/>
      <c r="E601" s="29" t="n"/>
      <c r="F601" s="29" t="n"/>
      <c r="G601" s="30" t="n"/>
      <c r="H601" s="31">
        <f>IF(G601="","",SUMIF(C$2:C601,"Masuk",G$2:G601)-SUMIF(C$2:C601,"Keluar",G$2:G601))</f>
        <v/>
      </c>
    </row>
    <row r="602">
      <c r="A602" s="22" t="n"/>
      <c r="B602" s="23" t="n"/>
      <c r="C602" s="24" t="n"/>
      <c r="D602" s="17" t="n"/>
      <c r="E602" s="17" t="n"/>
      <c r="F602" s="17" t="n"/>
      <c r="G602" s="15" t="n"/>
      <c r="H602" s="25">
        <f>IF(G602="","",SUMIF(C$2:C602,"Masuk",G$2:G602)-SUMIF(C$2:C602,"Keluar",G$2:G602))</f>
        <v/>
      </c>
    </row>
    <row r="603">
      <c r="A603" s="26" t="n"/>
      <c r="B603" s="27" t="n"/>
      <c r="C603" s="28" t="n"/>
      <c r="D603" s="29" t="n"/>
      <c r="E603" s="29" t="n"/>
      <c r="F603" s="29" t="n"/>
      <c r="G603" s="30" t="n"/>
      <c r="H603" s="31">
        <f>IF(G603="","",SUMIF(C$2:C603,"Masuk",G$2:G603)-SUMIF(C$2:C603,"Keluar",G$2:G603))</f>
        <v/>
      </c>
    </row>
    <row r="604">
      <c r="A604" s="22" t="n"/>
      <c r="B604" s="23" t="n"/>
      <c r="C604" s="24" t="n"/>
      <c r="D604" s="17" t="n"/>
      <c r="E604" s="17" t="n"/>
      <c r="F604" s="17" t="n"/>
      <c r="G604" s="15" t="n"/>
      <c r="H604" s="25">
        <f>IF(G604="","",SUMIF(C$2:C604,"Masuk",G$2:G604)-SUMIF(C$2:C604,"Keluar",G$2:G604))</f>
        <v/>
      </c>
    </row>
    <row r="605">
      <c r="A605" s="26" t="n"/>
      <c r="B605" s="27" t="n"/>
      <c r="C605" s="28" t="n"/>
      <c r="D605" s="29" t="n"/>
      <c r="E605" s="29" t="n"/>
      <c r="F605" s="29" t="n"/>
      <c r="G605" s="30" t="n"/>
      <c r="H605" s="31">
        <f>IF(G605="","",SUMIF(C$2:C605,"Masuk",G$2:G605)-SUMIF(C$2:C605,"Keluar",G$2:G605))</f>
        <v/>
      </c>
    </row>
    <row r="606">
      <c r="A606" s="22" t="n"/>
      <c r="B606" s="23" t="n"/>
      <c r="C606" s="24" t="n"/>
      <c r="D606" s="17" t="n"/>
      <c r="E606" s="17" t="n"/>
      <c r="F606" s="17" t="n"/>
      <c r="G606" s="15" t="n"/>
      <c r="H606" s="25">
        <f>IF(G606="","",SUMIF(C$2:C606,"Masuk",G$2:G606)-SUMIF(C$2:C606,"Keluar",G$2:G606))</f>
        <v/>
      </c>
    </row>
    <row r="607">
      <c r="A607" s="26" t="n"/>
      <c r="B607" s="27" t="n"/>
      <c r="C607" s="28" t="n"/>
      <c r="D607" s="29" t="n"/>
      <c r="E607" s="29" t="n"/>
      <c r="F607" s="29" t="n"/>
      <c r="G607" s="30" t="n"/>
      <c r="H607" s="31">
        <f>IF(G607="","",SUMIF(C$2:C607,"Masuk",G$2:G607)-SUMIF(C$2:C607,"Keluar",G$2:G607))</f>
        <v/>
      </c>
    </row>
    <row r="608">
      <c r="A608" s="22" t="n"/>
      <c r="B608" s="23" t="n"/>
      <c r="C608" s="24" t="n"/>
      <c r="D608" s="17" t="n"/>
      <c r="E608" s="17" t="n"/>
      <c r="F608" s="17" t="n"/>
      <c r="G608" s="15" t="n"/>
      <c r="H608" s="25">
        <f>IF(G608="","",SUMIF(C$2:C608,"Masuk",G$2:G608)-SUMIF(C$2:C608,"Keluar",G$2:G608))</f>
        <v/>
      </c>
    </row>
    <row r="609">
      <c r="A609" s="26" t="n"/>
      <c r="B609" s="27" t="n"/>
      <c r="C609" s="28" t="n"/>
      <c r="D609" s="29" t="n"/>
      <c r="E609" s="29" t="n"/>
      <c r="F609" s="29" t="n"/>
      <c r="G609" s="30" t="n"/>
      <c r="H609" s="31">
        <f>IF(G609="","",SUMIF(C$2:C609,"Masuk",G$2:G609)-SUMIF(C$2:C609,"Keluar",G$2:G609))</f>
        <v/>
      </c>
    </row>
    <row r="610">
      <c r="A610" s="22" t="n"/>
      <c r="B610" s="23" t="n"/>
      <c r="C610" s="24" t="n"/>
      <c r="D610" s="17" t="n"/>
      <c r="E610" s="17" t="n"/>
      <c r="F610" s="17" t="n"/>
      <c r="G610" s="15" t="n"/>
      <c r="H610" s="25">
        <f>IF(G610="","",SUMIF(C$2:C610,"Masuk",G$2:G610)-SUMIF(C$2:C610,"Keluar",G$2:G610))</f>
        <v/>
      </c>
    </row>
    <row r="611">
      <c r="A611" s="26" t="n"/>
      <c r="B611" s="27" t="n"/>
      <c r="C611" s="28" t="n"/>
      <c r="D611" s="29" t="n"/>
      <c r="E611" s="29" t="n"/>
      <c r="F611" s="29" t="n"/>
      <c r="G611" s="30" t="n"/>
      <c r="H611" s="31">
        <f>IF(G611="","",SUMIF(C$2:C611,"Masuk",G$2:G611)-SUMIF(C$2:C611,"Keluar",G$2:G611))</f>
        <v/>
      </c>
    </row>
    <row r="612">
      <c r="A612" s="22" t="n"/>
      <c r="B612" s="23" t="n"/>
      <c r="C612" s="24" t="n"/>
      <c r="D612" s="17" t="n"/>
      <c r="E612" s="17" t="n"/>
      <c r="F612" s="17" t="n"/>
      <c r="G612" s="15" t="n"/>
      <c r="H612" s="25">
        <f>IF(G612="","",SUMIF(C$2:C612,"Masuk",G$2:G612)-SUMIF(C$2:C612,"Keluar",G$2:G612))</f>
        <v/>
      </c>
    </row>
    <row r="613">
      <c r="A613" s="26" t="n"/>
      <c r="B613" s="27" t="n"/>
      <c r="C613" s="28" t="n"/>
      <c r="D613" s="29" t="n"/>
      <c r="E613" s="29" t="n"/>
      <c r="F613" s="29" t="n"/>
      <c r="G613" s="30" t="n"/>
      <c r="H613" s="31">
        <f>IF(G613="","",SUMIF(C$2:C613,"Masuk",G$2:G613)-SUMIF(C$2:C613,"Keluar",G$2:G613))</f>
        <v/>
      </c>
    </row>
    <row r="614">
      <c r="A614" s="22" t="n"/>
      <c r="B614" s="23" t="n"/>
      <c r="C614" s="24" t="n"/>
      <c r="D614" s="17" t="n"/>
      <c r="E614" s="17" t="n"/>
      <c r="F614" s="17" t="n"/>
      <c r="G614" s="15" t="n"/>
      <c r="H614" s="25">
        <f>IF(G614="","",SUMIF(C$2:C614,"Masuk",G$2:G614)-SUMIF(C$2:C614,"Keluar",G$2:G614))</f>
        <v/>
      </c>
    </row>
    <row r="615">
      <c r="A615" s="26" t="n"/>
      <c r="B615" s="27" t="n"/>
      <c r="C615" s="28" t="n"/>
      <c r="D615" s="29" t="n"/>
      <c r="E615" s="29" t="n"/>
      <c r="F615" s="29" t="n"/>
      <c r="G615" s="30" t="n"/>
      <c r="H615" s="31">
        <f>IF(G615="","",SUMIF(C$2:C615,"Masuk",G$2:G615)-SUMIF(C$2:C615,"Keluar",G$2:G615))</f>
        <v/>
      </c>
    </row>
    <row r="616">
      <c r="A616" s="22" t="n"/>
      <c r="B616" s="23" t="n"/>
      <c r="C616" s="24" t="n"/>
      <c r="D616" s="17" t="n"/>
      <c r="E616" s="17" t="n"/>
      <c r="F616" s="17" t="n"/>
      <c r="G616" s="15" t="n"/>
      <c r="H616" s="25">
        <f>IF(G616="","",SUMIF(C$2:C616,"Masuk",G$2:G616)-SUMIF(C$2:C616,"Keluar",G$2:G616))</f>
        <v/>
      </c>
    </row>
    <row r="617">
      <c r="A617" s="26" t="n"/>
      <c r="B617" s="27" t="n"/>
      <c r="C617" s="28" t="n"/>
      <c r="D617" s="29" t="n"/>
      <c r="E617" s="29" t="n"/>
      <c r="F617" s="29" t="n"/>
      <c r="G617" s="30" t="n"/>
      <c r="H617" s="31">
        <f>IF(G617="","",SUMIF(C$2:C617,"Masuk",G$2:G617)-SUMIF(C$2:C617,"Keluar",G$2:G617))</f>
        <v/>
      </c>
    </row>
    <row r="618">
      <c r="A618" s="22" t="n"/>
      <c r="B618" s="23" t="n"/>
      <c r="C618" s="24" t="n"/>
      <c r="D618" s="17" t="n"/>
      <c r="E618" s="17" t="n"/>
      <c r="F618" s="17" t="n"/>
      <c r="G618" s="15" t="n"/>
      <c r="H618" s="25">
        <f>IF(G618="","",SUMIF(C$2:C618,"Masuk",G$2:G618)-SUMIF(C$2:C618,"Keluar",G$2:G618))</f>
        <v/>
      </c>
    </row>
    <row r="619">
      <c r="A619" s="26" t="n"/>
      <c r="B619" s="27" t="n"/>
      <c r="C619" s="28" t="n"/>
      <c r="D619" s="29" t="n"/>
      <c r="E619" s="29" t="n"/>
      <c r="F619" s="29" t="n"/>
      <c r="G619" s="30" t="n"/>
      <c r="H619" s="31">
        <f>IF(G619="","",SUMIF(C$2:C619,"Masuk",G$2:G619)-SUMIF(C$2:C619,"Keluar",G$2:G619))</f>
        <v/>
      </c>
    </row>
    <row r="620">
      <c r="A620" s="22" t="n"/>
      <c r="B620" s="23" t="n"/>
      <c r="C620" s="24" t="n"/>
      <c r="D620" s="17" t="n"/>
      <c r="E620" s="17" t="n"/>
      <c r="F620" s="17" t="n"/>
      <c r="G620" s="15" t="n"/>
      <c r="H620" s="25">
        <f>IF(G620="","",SUMIF(C$2:C620,"Masuk",G$2:G620)-SUMIF(C$2:C620,"Keluar",G$2:G620))</f>
        <v/>
      </c>
    </row>
    <row r="621">
      <c r="A621" s="26" t="n"/>
      <c r="B621" s="27" t="n"/>
      <c r="C621" s="28" t="n"/>
      <c r="D621" s="29" t="n"/>
      <c r="E621" s="29" t="n"/>
      <c r="F621" s="29" t="n"/>
      <c r="G621" s="30" t="n"/>
      <c r="H621" s="31">
        <f>IF(G621="","",SUMIF(C$2:C621,"Masuk",G$2:G621)-SUMIF(C$2:C621,"Keluar",G$2:G621))</f>
        <v/>
      </c>
    </row>
    <row r="622">
      <c r="A622" s="22" t="n"/>
      <c r="B622" s="23" t="n"/>
      <c r="C622" s="24" t="n"/>
      <c r="D622" s="17" t="n"/>
      <c r="E622" s="17" t="n"/>
      <c r="F622" s="17" t="n"/>
      <c r="G622" s="15" t="n"/>
      <c r="H622" s="25">
        <f>IF(G622="","",SUMIF(C$2:C622,"Masuk",G$2:G622)-SUMIF(C$2:C622,"Keluar",G$2:G622))</f>
        <v/>
      </c>
    </row>
    <row r="623">
      <c r="A623" s="26" t="n"/>
      <c r="B623" s="27" t="n"/>
      <c r="C623" s="28" t="n"/>
      <c r="D623" s="29" t="n"/>
      <c r="E623" s="29" t="n"/>
      <c r="F623" s="29" t="n"/>
      <c r="G623" s="30" t="n"/>
      <c r="H623" s="31">
        <f>IF(G623="","",SUMIF(C$2:C623,"Masuk",G$2:G623)-SUMIF(C$2:C623,"Keluar",G$2:G623))</f>
        <v/>
      </c>
    </row>
    <row r="624">
      <c r="A624" s="22" t="n"/>
      <c r="B624" s="23" t="n"/>
      <c r="C624" s="24" t="n"/>
      <c r="D624" s="17" t="n"/>
      <c r="E624" s="17" t="n"/>
      <c r="F624" s="17" t="n"/>
      <c r="G624" s="15" t="n"/>
      <c r="H624" s="25">
        <f>IF(G624="","",SUMIF(C$2:C624,"Masuk",G$2:G624)-SUMIF(C$2:C624,"Keluar",G$2:G624))</f>
        <v/>
      </c>
    </row>
    <row r="625">
      <c r="A625" s="26" t="n"/>
      <c r="B625" s="27" t="n"/>
      <c r="C625" s="28" t="n"/>
      <c r="D625" s="29" t="n"/>
      <c r="E625" s="29" t="n"/>
      <c r="F625" s="29" t="n"/>
      <c r="G625" s="30" t="n"/>
      <c r="H625" s="31">
        <f>IF(G625="","",SUMIF(C$2:C625,"Masuk",G$2:G625)-SUMIF(C$2:C625,"Keluar",G$2:G625))</f>
        <v/>
      </c>
    </row>
    <row r="626">
      <c r="A626" s="22" t="n"/>
      <c r="B626" s="23" t="n"/>
      <c r="C626" s="24" t="n"/>
      <c r="D626" s="17" t="n"/>
      <c r="E626" s="17" t="n"/>
      <c r="F626" s="17" t="n"/>
      <c r="G626" s="15" t="n"/>
      <c r="H626" s="25">
        <f>IF(G626="","",SUMIF(C$2:C626,"Masuk",G$2:G626)-SUMIF(C$2:C626,"Keluar",G$2:G626))</f>
        <v/>
      </c>
    </row>
    <row r="627">
      <c r="A627" s="26" t="n"/>
      <c r="B627" s="27" t="n"/>
      <c r="C627" s="28" t="n"/>
      <c r="D627" s="29" t="n"/>
      <c r="E627" s="29" t="n"/>
      <c r="F627" s="29" t="n"/>
      <c r="G627" s="30" t="n"/>
      <c r="H627" s="31">
        <f>IF(G627="","",SUMIF(C$2:C627,"Masuk",G$2:G627)-SUMIF(C$2:C627,"Keluar",G$2:G627))</f>
        <v/>
      </c>
    </row>
    <row r="628">
      <c r="A628" s="22" t="n"/>
      <c r="B628" s="23" t="n"/>
      <c r="C628" s="24" t="n"/>
      <c r="D628" s="17" t="n"/>
      <c r="E628" s="17" t="n"/>
      <c r="F628" s="17" t="n"/>
      <c r="G628" s="15" t="n"/>
      <c r="H628" s="25">
        <f>IF(G628="","",SUMIF(C$2:C628,"Masuk",G$2:G628)-SUMIF(C$2:C628,"Keluar",G$2:G628))</f>
        <v/>
      </c>
    </row>
    <row r="629">
      <c r="A629" s="26" t="n"/>
      <c r="B629" s="27" t="n"/>
      <c r="C629" s="28" t="n"/>
      <c r="D629" s="29" t="n"/>
      <c r="E629" s="29" t="n"/>
      <c r="F629" s="29" t="n"/>
      <c r="G629" s="30" t="n"/>
      <c r="H629" s="31">
        <f>IF(G629="","",SUMIF(C$2:C629,"Masuk",G$2:G629)-SUMIF(C$2:C629,"Keluar",G$2:G629))</f>
        <v/>
      </c>
    </row>
    <row r="630">
      <c r="A630" s="22" t="n"/>
      <c r="B630" s="23" t="n"/>
      <c r="C630" s="24" t="n"/>
      <c r="D630" s="17" t="n"/>
      <c r="E630" s="17" t="n"/>
      <c r="F630" s="17" t="n"/>
      <c r="G630" s="15" t="n"/>
      <c r="H630" s="25">
        <f>IF(G630="","",SUMIF(C$2:C630,"Masuk",G$2:G630)-SUMIF(C$2:C630,"Keluar",G$2:G630))</f>
        <v/>
      </c>
    </row>
    <row r="631">
      <c r="A631" s="26" t="n"/>
      <c r="B631" s="27" t="n"/>
      <c r="C631" s="28" t="n"/>
      <c r="D631" s="29" t="n"/>
      <c r="E631" s="29" t="n"/>
      <c r="F631" s="29" t="n"/>
      <c r="G631" s="30" t="n"/>
      <c r="H631" s="31">
        <f>IF(G631="","",SUMIF(C$2:C631,"Masuk",G$2:G631)-SUMIF(C$2:C631,"Keluar",G$2:G631))</f>
        <v/>
      </c>
    </row>
    <row r="632">
      <c r="A632" s="22" t="n"/>
      <c r="B632" s="23" t="n"/>
      <c r="C632" s="24" t="n"/>
      <c r="D632" s="17" t="n"/>
      <c r="E632" s="17" t="n"/>
      <c r="F632" s="17" t="n"/>
      <c r="G632" s="15" t="n"/>
      <c r="H632" s="25">
        <f>IF(G632="","",SUMIF(C$2:C632,"Masuk",G$2:G632)-SUMIF(C$2:C632,"Keluar",G$2:G632))</f>
        <v/>
      </c>
    </row>
    <row r="633">
      <c r="A633" s="26" t="n"/>
      <c r="B633" s="27" t="n"/>
      <c r="C633" s="28" t="n"/>
      <c r="D633" s="29" t="n"/>
      <c r="E633" s="29" t="n"/>
      <c r="F633" s="29" t="n"/>
      <c r="G633" s="30" t="n"/>
      <c r="H633" s="31">
        <f>IF(G633="","",SUMIF(C$2:C633,"Masuk",G$2:G633)-SUMIF(C$2:C633,"Keluar",G$2:G633))</f>
        <v/>
      </c>
    </row>
    <row r="634">
      <c r="A634" s="22" t="n"/>
      <c r="B634" s="23" t="n"/>
      <c r="C634" s="24" t="n"/>
      <c r="D634" s="17" t="n"/>
      <c r="E634" s="17" t="n"/>
      <c r="F634" s="17" t="n"/>
      <c r="G634" s="15" t="n"/>
      <c r="H634" s="25">
        <f>IF(G634="","",SUMIF(C$2:C634,"Masuk",G$2:G634)-SUMIF(C$2:C634,"Keluar",G$2:G634))</f>
        <v/>
      </c>
    </row>
    <row r="635">
      <c r="A635" s="26" t="n"/>
      <c r="B635" s="27" t="n"/>
      <c r="C635" s="28" t="n"/>
      <c r="D635" s="29" t="n"/>
      <c r="E635" s="29" t="n"/>
      <c r="F635" s="29" t="n"/>
      <c r="G635" s="30" t="n"/>
      <c r="H635" s="31">
        <f>IF(G635="","",SUMIF(C$2:C635,"Masuk",G$2:G635)-SUMIF(C$2:C635,"Keluar",G$2:G635))</f>
        <v/>
      </c>
    </row>
    <row r="636">
      <c r="A636" s="22" t="n"/>
      <c r="B636" s="23" t="n"/>
      <c r="C636" s="24" t="n"/>
      <c r="D636" s="17" t="n"/>
      <c r="E636" s="17" t="n"/>
      <c r="F636" s="17" t="n"/>
      <c r="G636" s="15" t="n"/>
      <c r="H636" s="25">
        <f>IF(G636="","",SUMIF(C$2:C636,"Masuk",G$2:G636)-SUMIF(C$2:C636,"Keluar",G$2:G636))</f>
        <v/>
      </c>
    </row>
    <row r="637">
      <c r="A637" s="26" t="n"/>
      <c r="B637" s="27" t="n"/>
      <c r="C637" s="28" t="n"/>
      <c r="D637" s="29" t="n"/>
      <c r="E637" s="29" t="n"/>
      <c r="F637" s="29" t="n"/>
      <c r="G637" s="30" t="n"/>
      <c r="H637" s="31">
        <f>IF(G637="","",SUMIF(C$2:C637,"Masuk",G$2:G637)-SUMIF(C$2:C637,"Keluar",G$2:G637))</f>
        <v/>
      </c>
    </row>
    <row r="638">
      <c r="A638" s="22" t="n"/>
      <c r="B638" s="23" t="n"/>
      <c r="C638" s="24" t="n"/>
      <c r="D638" s="17" t="n"/>
      <c r="E638" s="17" t="n"/>
      <c r="F638" s="17" t="n"/>
      <c r="G638" s="15" t="n"/>
      <c r="H638" s="25">
        <f>IF(G638="","",SUMIF(C$2:C638,"Masuk",G$2:G638)-SUMIF(C$2:C638,"Keluar",G$2:G638))</f>
        <v/>
      </c>
    </row>
    <row r="639">
      <c r="A639" s="26" t="n"/>
      <c r="B639" s="27" t="n"/>
      <c r="C639" s="28" t="n"/>
      <c r="D639" s="29" t="n"/>
      <c r="E639" s="29" t="n"/>
      <c r="F639" s="29" t="n"/>
      <c r="G639" s="30" t="n"/>
      <c r="H639" s="31">
        <f>IF(G639="","",SUMIF(C$2:C639,"Masuk",G$2:G639)-SUMIF(C$2:C639,"Keluar",G$2:G639))</f>
        <v/>
      </c>
    </row>
    <row r="640">
      <c r="A640" s="22" t="n"/>
      <c r="B640" s="23" t="n"/>
      <c r="C640" s="24" t="n"/>
      <c r="D640" s="17" t="n"/>
      <c r="E640" s="17" t="n"/>
      <c r="F640" s="17" t="n"/>
      <c r="G640" s="15" t="n"/>
      <c r="H640" s="25">
        <f>IF(G640="","",SUMIF(C$2:C640,"Masuk",G$2:G640)-SUMIF(C$2:C640,"Keluar",G$2:G640))</f>
        <v/>
      </c>
    </row>
    <row r="641">
      <c r="A641" s="26" t="n"/>
      <c r="B641" s="27" t="n"/>
      <c r="C641" s="28" t="n"/>
      <c r="D641" s="29" t="n"/>
      <c r="E641" s="29" t="n"/>
      <c r="F641" s="29" t="n"/>
      <c r="G641" s="30" t="n"/>
      <c r="H641" s="31">
        <f>IF(G641="","",SUMIF(C$2:C641,"Masuk",G$2:G641)-SUMIF(C$2:C641,"Keluar",G$2:G641))</f>
        <v/>
      </c>
    </row>
    <row r="642">
      <c r="A642" s="22" t="n"/>
      <c r="B642" s="23" t="n"/>
      <c r="C642" s="24" t="n"/>
      <c r="D642" s="17" t="n"/>
      <c r="E642" s="17" t="n"/>
      <c r="F642" s="17" t="n"/>
      <c r="G642" s="15" t="n"/>
      <c r="H642" s="25">
        <f>IF(G642="","",SUMIF(C$2:C642,"Masuk",G$2:G642)-SUMIF(C$2:C642,"Keluar",G$2:G642))</f>
        <v/>
      </c>
    </row>
    <row r="643">
      <c r="A643" s="26" t="n"/>
      <c r="B643" s="27" t="n"/>
      <c r="C643" s="28" t="n"/>
      <c r="D643" s="29" t="n"/>
      <c r="E643" s="29" t="n"/>
      <c r="F643" s="29" t="n"/>
      <c r="G643" s="30" t="n"/>
      <c r="H643" s="31">
        <f>IF(G643="","",SUMIF(C$2:C643,"Masuk",G$2:G643)-SUMIF(C$2:C643,"Keluar",G$2:G643))</f>
        <v/>
      </c>
    </row>
    <row r="644">
      <c r="A644" s="22" t="n"/>
      <c r="B644" s="23" t="n"/>
      <c r="C644" s="24" t="n"/>
      <c r="D644" s="17" t="n"/>
      <c r="E644" s="17" t="n"/>
      <c r="F644" s="17" t="n"/>
      <c r="G644" s="15" t="n"/>
      <c r="H644" s="25">
        <f>IF(G644="","",SUMIF(C$2:C644,"Masuk",G$2:G644)-SUMIF(C$2:C644,"Keluar",G$2:G644))</f>
        <v/>
      </c>
    </row>
    <row r="645">
      <c r="A645" s="26" t="n"/>
      <c r="B645" s="27" t="n"/>
      <c r="C645" s="28" t="n"/>
      <c r="D645" s="29" t="n"/>
      <c r="E645" s="29" t="n"/>
      <c r="F645" s="29" t="n"/>
      <c r="G645" s="30" t="n"/>
      <c r="H645" s="31">
        <f>IF(G645="","",SUMIF(C$2:C645,"Masuk",G$2:G645)-SUMIF(C$2:C645,"Keluar",G$2:G645))</f>
        <v/>
      </c>
    </row>
    <row r="646">
      <c r="A646" s="22" t="n"/>
      <c r="B646" s="23" t="n"/>
      <c r="C646" s="24" t="n"/>
      <c r="D646" s="17" t="n"/>
      <c r="E646" s="17" t="n"/>
      <c r="F646" s="17" t="n"/>
      <c r="G646" s="15" t="n"/>
      <c r="H646" s="25">
        <f>IF(G646="","",SUMIF(C$2:C646,"Masuk",G$2:G646)-SUMIF(C$2:C646,"Keluar",G$2:G646))</f>
        <v/>
      </c>
    </row>
    <row r="647">
      <c r="A647" s="26" t="n"/>
      <c r="B647" s="27" t="n"/>
      <c r="C647" s="28" t="n"/>
      <c r="D647" s="29" t="n"/>
      <c r="E647" s="29" t="n"/>
      <c r="F647" s="29" t="n"/>
      <c r="G647" s="30" t="n"/>
      <c r="H647" s="31">
        <f>IF(G647="","",SUMIF(C$2:C647,"Masuk",G$2:G647)-SUMIF(C$2:C647,"Keluar",G$2:G647))</f>
        <v/>
      </c>
    </row>
    <row r="648">
      <c r="A648" s="22" t="n"/>
      <c r="B648" s="23" t="n"/>
      <c r="C648" s="24" t="n"/>
      <c r="D648" s="17" t="n"/>
      <c r="E648" s="17" t="n"/>
      <c r="F648" s="17" t="n"/>
      <c r="G648" s="15" t="n"/>
      <c r="H648" s="25">
        <f>IF(G648="","",SUMIF(C$2:C648,"Masuk",G$2:G648)-SUMIF(C$2:C648,"Keluar",G$2:G648))</f>
        <v/>
      </c>
    </row>
    <row r="649">
      <c r="A649" s="26" t="n"/>
      <c r="B649" s="27" t="n"/>
      <c r="C649" s="28" t="n"/>
      <c r="D649" s="29" t="n"/>
      <c r="E649" s="29" t="n"/>
      <c r="F649" s="29" t="n"/>
      <c r="G649" s="30" t="n"/>
      <c r="H649" s="31">
        <f>IF(G649="","",SUMIF(C$2:C649,"Masuk",G$2:G649)-SUMIF(C$2:C649,"Keluar",G$2:G649))</f>
        <v/>
      </c>
    </row>
    <row r="650">
      <c r="A650" s="22" t="n"/>
      <c r="B650" s="23" t="n"/>
      <c r="C650" s="24" t="n"/>
      <c r="D650" s="17" t="n"/>
      <c r="E650" s="17" t="n"/>
      <c r="F650" s="17" t="n"/>
      <c r="G650" s="15" t="n"/>
      <c r="H650" s="25">
        <f>IF(G650="","",SUMIF(C$2:C650,"Masuk",G$2:G650)-SUMIF(C$2:C650,"Keluar",G$2:G650))</f>
        <v/>
      </c>
    </row>
    <row r="651">
      <c r="A651" s="26" t="n"/>
      <c r="B651" s="27" t="n"/>
      <c r="C651" s="28" t="n"/>
      <c r="D651" s="29" t="n"/>
      <c r="E651" s="29" t="n"/>
      <c r="F651" s="29" t="n"/>
      <c r="G651" s="30" t="n"/>
      <c r="H651" s="31">
        <f>IF(G651="","",SUMIF(C$2:C651,"Masuk",G$2:G651)-SUMIF(C$2:C651,"Keluar",G$2:G651))</f>
        <v/>
      </c>
    </row>
    <row r="652">
      <c r="A652" s="22" t="n"/>
      <c r="B652" s="23" t="n"/>
      <c r="C652" s="24" t="n"/>
      <c r="D652" s="17" t="n"/>
      <c r="E652" s="17" t="n"/>
      <c r="F652" s="17" t="n"/>
      <c r="G652" s="15" t="n"/>
      <c r="H652" s="25">
        <f>IF(G652="","",SUMIF(C$2:C652,"Masuk",G$2:G652)-SUMIF(C$2:C652,"Keluar",G$2:G652))</f>
        <v/>
      </c>
    </row>
    <row r="653">
      <c r="A653" s="26" t="n"/>
      <c r="B653" s="27" t="n"/>
      <c r="C653" s="28" t="n"/>
      <c r="D653" s="29" t="n"/>
      <c r="E653" s="29" t="n"/>
      <c r="F653" s="29" t="n"/>
      <c r="G653" s="30" t="n"/>
      <c r="H653" s="31">
        <f>IF(G653="","",SUMIF(C$2:C653,"Masuk",G$2:G653)-SUMIF(C$2:C653,"Keluar",G$2:G653))</f>
        <v/>
      </c>
    </row>
    <row r="654">
      <c r="A654" s="22" t="n"/>
      <c r="B654" s="23" t="n"/>
      <c r="C654" s="24" t="n"/>
      <c r="D654" s="17" t="n"/>
      <c r="E654" s="17" t="n"/>
      <c r="F654" s="17" t="n"/>
      <c r="G654" s="15" t="n"/>
      <c r="H654" s="25">
        <f>IF(G654="","",SUMIF(C$2:C654,"Masuk",G$2:G654)-SUMIF(C$2:C654,"Keluar",G$2:G654))</f>
        <v/>
      </c>
    </row>
    <row r="655">
      <c r="A655" s="26" t="n"/>
      <c r="B655" s="27" t="n"/>
      <c r="C655" s="28" t="n"/>
      <c r="D655" s="29" t="n"/>
      <c r="E655" s="29" t="n"/>
      <c r="F655" s="29" t="n"/>
      <c r="G655" s="30" t="n"/>
      <c r="H655" s="31">
        <f>IF(G655="","",SUMIF(C$2:C655,"Masuk",G$2:G655)-SUMIF(C$2:C655,"Keluar",G$2:G655))</f>
        <v/>
      </c>
    </row>
    <row r="656">
      <c r="A656" s="22" t="n"/>
      <c r="B656" s="23" t="n"/>
      <c r="C656" s="24" t="n"/>
      <c r="D656" s="17" t="n"/>
      <c r="E656" s="17" t="n"/>
      <c r="F656" s="17" t="n"/>
      <c r="G656" s="15" t="n"/>
      <c r="H656" s="25">
        <f>IF(G656="","",SUMIF(C$2:C656,"Masuk",G$2:G656)-SUMIF(C$2:C656,"Keluar",G$2:G656))</f>
        <v/>
      </c>
    </row>
    <row r="657">
      <c r="A657" s="26" t="n"/>
      <c r="B657" s="27" t="n"/>
      <c r="C657" s="28" t="n"/>
      <c r="D657" s="29" t="n"/>
      <c r="E657" s="29" t="n"/>
      <c r="F657" s="29" t="n"/>
      <c r="G657" s="30" t="n"/>
      <c r="H657" s="31">
        <f>IF(G657="","",SUMIF(C$2:C657,"Masuk",G$2:G657)-SUMIF(C$2:C657,"Keluar",G$2:G657))</f>
        <v/>
      </c>
    </row>
    <row r="658">
      <c r="A658" s="22" t="n"/>
      <c r="B658" s="23" t="n"/>
      <c r="C658" s="24" t="n"/>
      <c r="D658" s="17" t="n"/>
      <c r="E658" s="17" t="n"/>
      <c r="F658" s="17" t="n"/>
      <c r="G658" s="15" t="n"/>
      <c r="H658" s="25">
        <f>IF(G658="","",SUMIF(C$2:C658,"Masuk",G$2:G658)-SUMIF(C$2:C658,"Keluar",G$2:G658))</f>
        <v/>
      </c>
    </row>
    <row r="659">
      <c r="A659" s="26" t="n"/>
      <c r="B659" s="27" t="n"/>
      <c r="C659" s="28" t="n"/>
      <c r="D659" s="29" t="n"/>
      <c r="E659" s="29" t="n"/>
      <c r="F659" s="29" t="n"/>
      <c r="G659" s="30" t="n"/>
      <c r="H659" s="31">
        <f>IF(G659="","",SUMIF(C$2:C659,"Masuk",G$2:G659)-SUMIF(C$2:C659,"Keluar",G$2:G659))</f>
        <v/>
      </c>
    </row>
    <row r="660">
      <c r="A660" s="22" t="n"/>
      <c r="B660" s="23" t="n"/>
      <c r="C660" s="24" t="n"/>
      <c r="D660" s="17" t="n"/>
      <c r="E660" s="17" t="n"/>
      <c r="F660" s="17" t="n"/>
      <c r="G660" s="15" t="n"/>
      <c r="H660" s="25">
        <f>IF(G660="","",SUMIF(C$2:C660,"Masuk",G$2:G660)-SUMIF(C$2:C660,"Keluar",G$2:G660))</f>
        <v/>
      </c>
    </row>
    <row r="661">
      <c r="A661" s="26" t="n"/>
      <c r="B661" s="27" t="n"/>
      <c r="C661" s="28" t="n"/>
      <c r="D661" s="29" t="n"/>
      <c r="E661" s="29" t="n"/>
      <c r="F661" s="29" t="n"/>
      <c r="G661" s="30" t="n"/>
      <c r="H661" s="31">
        <f>IF(G661="","",SUMIF(C$2:C661,"Masuk",G$2:G661)-SUMIF(C$2:C661,"Keluar",G$2:G661))</f>
        <v/>
      </c>
    </row>
    <row r="662">
      <c r="A662" s="22" t="n"/>
      <c r="B662" s="23" t="n"/>
      <c r="C662" s="24" t="n"/>
      <c r="D662" s="17" t="n"/>
      <c r="E662" s="17" t="n"/>
      <c r="F662" s="17" t="n"/>
      <c r="G662" s="15" t="n"/>
      <c r="H662" s="25">
        <f>IF(G662="","",SUMIF(C$2:C662,"Masuk",G$2:G662)-SUMIF(C$2:C662,"Keluar",G$2:G662))</f>
        <v/>
      </c>
    </row>
    <row r="663">
      <c r="A663" s="26" t="n"/>
      <c r="B663" s="27" t="n"/>
      <c r="C663" s="28" t="n"/>
      <c r="D663" s="29" t="n"/>
      <c r="E663" s="29" t="n"/>
      <c r="F663" s="29" t="n"/>
      <c r="G663" s="30" t="n"/>
      <c r="H663" s="31">
        <f>IF(G663="","",SUMIF(C$2:C663,"Masuk",G$2:G663)-SUMIF(C$2:C663,"Keluar",G$2:G663))</f>
        <v/>
      </c>
    </row>
    <row r="664">
      <c r="A664" s="22" t="n"/>
      <c r="B664" s="23" t="n"/>
      <c r="C664" s="24" t="n"/>
      <c r="D664" s="17" t="n"/>
      <c r="E664" s="17" t="n"/>
      <c r="F664" s="17" t="n"/>
      <c r="G664" s="15" t="n"/>
      <c r="H664" s="25">
        <f>IF(G664="","",SUMIF(C$2:C664,"Masuk",G$2:G664)-SUMIF(C$2:C664,"Keluar",G$2:G664))</f>
        <v/>
      </c>
    </row>
    <row r="665">
      <c r="A665" s="26" t="n"/>
      <c r="B665" s="27" t="n"/>
      <c r="C665" s="28" t="n"/>
      <c r="D665" s="29" t="n"/>
      <c r="E665" s="29" t="n"/>
      <c r="F665" s="29" t="n"/>
      <c r="G665" s="30" t="n"/>
      <c r="H665" s="31">
        <f>IF(G665="","",SUMIF(C$2:C665,"Masuk",G$2:G665)-SUMIF(C$2:C665,"Keluar",G$2:G665))</f>
        <v/>
      </c>
    </row>
    <row r="666">
      <c r="A666" s="22" t="n"/>
      <c r="B666" s="23" t="n"/>
      <c r="C666" s="24" t="n"/>
      <c r="D666" s="17" t="n"/>
      <c r="E666" s="17" t="n"/>
      <c r="F666" s="17" t="n"/>
      <c r="G666" s="15" t="n"/>
      <c r="H666" s="25">
        <f>IF(G666="","",SUMIF(C$2:C666,"Masuk",G$2:G666)-SUMIF(C$2:C666,"Keluar",G$2:G666))</f>
        <v/>
      </c>
    </row>
    <row r="667">
      <c r="A667" s="26" t="n"/>
      <c r="B667" s="27" t="n"/>
      <c r="C667" s="28" t="n"/>
      <c r="D667" s="29" t="n"/>
      <c r="E667" s="29" t="n"/>
      <c r="F667" s="29" t="n"/>
      <c r="G667" s="30" t="n"/>
      <c r="H667" s="31">
        <f>IF(G667="","",SUMIF(C$2:C667,"Masuk",G$2:G667)-SUMIF(C$2:C667,"Keluar",G$2:G667))</f>
        <v/>
      </c>
    </row>
    <row r="668">
      <c r="A668" s="22" t="n"/>
      <c r="B668" s="23" t="n"/>
      <c r="C668" s="24" t="n"/>
      <c r="D668" s="17" t="n"/>
      <c r="E668" s="17" t="n"/>
      <c r="F668" s="17" t="n"/>
      <c r="G668" s="15" t="n"/>
      <c r="H668" s="25">
        <f>IF(G668="","",SUMIF(C$2:C668,"Masuk",G$2:G668)-SUMIF(C$2:C668,"Keluar",G$2:G668))</f>
        <v/>
      </c>
    </row>
    <row r="669">
      <c r="A669" s="26" t="n"/>
      <c r="B669" s="27" t="n"/>
      <c r="C669" s="28" t="n"/>
      <c r="D669" s="29" t="n"/>
      <c r="E669" s="29" t="n"/>
      <c r="F669" s="29" t="n"/>
      <c r="G669" s="30" t="n"/>
      <c r="H669" s="31">
        <f>IF(G669="","",SUMIF(C$2:C669,"Masuk",G$2:G669)-SUMIF(C$2:C669,"Keluar",G$2:G669))</f>
        <v/>
      </c>
    </row>
    <row r="670">
      <c r="A670" s="22" t="n"/>
      <c r="B670" s="23" t="n"/>
      <c r="C670" s="24" t="n"/>
      <c r="D670" s="17" t="n"/>
      <c r="E670" s="17" t="n"/>
      <c r="F670" s="17" t="n"/>
      <c r="G670" s="15" t="n"/>
      <c r="H670" s="25">
        <f>IF(G670="","",SUMIF(C$2:C670,"Masuk",G$2:G670)-SUMIF(C$2:C670,"Keluar",G$2:G670))</f>
        <v/>
      </c>
    </row>
    <row r="671">
      <c r="A671" s="26" t="n"/>
      <c r="B671" s="27" t="n"/>
      <c r="C671" s="28" t="n"/>
      <c r="D671" s="29" t="n"/>
      <c r="E671" s="29" t="n"/>
      <c r="F671" s="29" t="n"/>
      <c r="G671" s="30" t="n"/>
      <c r="H671" s="31">
        <f>IF(G671="","",SUMIF(C$2:C671,"Masuk",G$2:G671)-SUMIF(C$2:C671,"Keluar",G$2:G671))</f>
        <v/>
      </c>
    </row>
    <row r="672">
      <c r="A672" s="22" t="n"/>
      <c r="B672" s="23" t="n"/>
      <c r="C672" s="24" t="n"/>
      <c r="D672" s="17" t="n"/>
      <c r="E672" s="17" t="n"/>
      <c r="F672" s="17" t="n"/>
      <c r="G672" s="15" t="n"/>
      <c r="H672" s="25">
        <f>IF(G672="","",SUMIF(C$2:C672,"Masuk",G$2:G672)-SUMIF(C$2:C672,"Keluar",G$2:G672))</f>
        <v/>
      </c>
    </row>
    <row r="673">
      <c r="A673" s="26" t="n"/>
      <c r="B673" s="27" t="n"/>
      <c r="C673" s="28" t="n"/>
      <c r="D673" s="29" t="n"/>
      <c r="E673" s="29" t="n"/>
      <c r="F673" s="29" t="n"/>
      <c r="G673" s="30" t="n"/>
      <c r="H673" s="31">
        <f>IF(G673="","",SUMIF(C$2:C673,"Masuk",G$2:G673)-SUMIF(C$2:C673,"Keluar",G$2:G673))</f>
        <v/>
      </c>
    </row>
    <row r="674">
      <c r="A674" s="22" t="n"/>
      <c r="B674" s="23" t="n"/>
      <c r="C674" s="24" t="n"/>
      <c r="D674" s="17" t="n"/>
      <c r="E674" s="17" t="n"/>
      <c r="F674" s="17" t="n"/>
      <c r="G674" s="15" t="n"/>
      <c r="H674" s="25">
        <f>IF(G674="","",SUMIF(C$2:C674,"Masuk",G$2:G674)-SUMIF(C$2:C674,"Keluar",G$2:G674))</f>
        <v/>
      </c>
    </row>
    <row r="675">
      <c r="A675" s="26" t="n"/>
      <c r="B675" s="27" t="n"/>
      <c r="C675" s="28" t="n"/>
      <c r="D675" s="29" t="n"/>
      <c r="E675" s="29" t="n"/>
      <c r="F675" s="29" t="n"/>
      <c r="G675" s="30" t="n"/>
      <c r="H675" s="31">
        <f>IF(G675="","",SUMIF(C$2:C675,"Masuk",G$2:G675)-SUMIF(C$2:C675,"Keluar",G$2:G675))</f>
        <v/>
      </c>
    </row>
    <row r="676">
      <c r="A676" s="22" t="n"/>
      <c r="B676" s="23" t="n"/>
      <c r="C676" s="24" t="n"/>
      <c r="D676" s="17" t="n"/>
      <c r="E676" s="17" t="n"/>
      <c r="F676" s="17" t="n"/>
      <c r="G676" s="15" t="n"/>
      <c r="H676" s="25">
        <f>IF(G676="","",SUMIF(C$2:C676,"Masuk",G$2:G676)-SUMIF(C$2:C676,"Keluar",G$2:G676))</f>
        <v/>
      </c>
    </row>
    <row r="677">
      <c r="A677" s="26" t="n"/>
      <c r="B677" s="27" t="n"/>
      <c r="C677" s="28" t="n"/>
      <c r="D677" s="29" t="n"/>
      <c r="E677" s="29" t="n"/>
      <c r="F677" s="29" t="n"/>
      <c r="G677" s="30" t="n"/>
      <c r="H677" s="31">
        <f>IF(G677="","",SUMIF(C$2:C677,"Masuk",G$2:G677)-SUMIF(C$2:C677,"Keluar",G$2:G677))</f>
        <v/>
      </c>
    </row>
    <row r="678">
      <c r="A678" s="22" t="n"/>
      <c r="B678" s="23" t="n"/>
      <c r="C678" s="24" t="n"/>
      <c r="D678" s="17" t="n"/>
      <c r="E678" s="17" t="n"/>
      <c r="F678" s="17" t="n"/>
      <c r="G678" s="15" t="n"/>
      <c r="H678" s="25">
        <f>IF(G678="","",SUMIF(C$2:C678,"Masuk",G$2:G678)-SUMIF(C$2:C678,"Keluar",G$2:G678))</f>
        <v/>
      </c>
    </row>
    <row r="679">
      <c r="A679" s="26" t="n"/>
      <c r="B679" s="27" t="n"/>
      <c r="C679" s="28" t="n"/>
      <c r="D679" s="29" t="n"/>
      <c r="E679" s="29" t="n"/>
      <c r="F679" s="29" t="n"/>
      <c r="G679" s="30" t="n"/>
      <c r="H679" s="31">
        <f>IF(G679="","",SUMIF(C$2:C679,"Masuk",G$2:G679)-SUMIF(C$2:C679,"Keluar",G$2:G679))</f>
        <v/>
      </c>
    </row>
    <row r="680">
      <c r="A680" s="22" t="n"/>
      <c r="B680" s="23" t="n"/>
      <c r="C680" s="24" t="n"/>
      <c r="D680" s="17" t="n"/>
      <c r="E680" s="17" t="n"/>
      <c r="F680" s="17" t="n"/>
      <c r="G680" s="15" t="n"/>
      <c r="H680" s="25">
        <f>IF(G680="","",SUMIF(C$2:C680,"Masuk",G$2:G680)-SUMIF(C$2:C680,"Keluar",G$2:G680))</f>
        <v/>
      </c>
    </row>
    <row r="681">
      <c r="A681" s="26" t="n"/>
      <c r="B681" s="27" t="n"/>
      <c r="C681" s="28" t="n"/>
      <c r="D681" s="29" t="n"/>
      <c r="E681" s="29" t="n"/>
      <c r="F681" s="29" t="n"/>
      <c r="G681" s="30" t="n"/>
      <c r="H681" s="31">
        <f>IF(G681="","",SUMIF(C$2:C681,"Masuk",G$2:G681)-SUMIF(C$2:C681,"Keluar",G$2:G681))</f>
        <v/>
      </c>
    </row>
    <row r="682">
      <c r="A682" s="22" t="n"/>
      <c r="B682" s="23" t="n"/>
      <c r="C682" s="24" t="n"/>
      <c r="D682" s="17" t="n"/>
      <c r="E682" s="17" t="n"/>
      <c r="F682" s="17" t="n"/>
      <c r="G682" s="15" t="n"/>
      <c r="H682" s="25">
        <f>IF(G682="","",SUMIF(C$2:C682,"Masuk",G$2:G682)-SUMIF(C$2:C682,"Keluar",G$2:G682))</f>
        <v/>
      </c>
    </row>
    <row r="683">
      <c r="A683" s="26" t="n"/>
      <c r="B683" s="27" t="n"/>
      <c r="C683" s="28" t="n"/>
      <c r="D683" s="29" t="n"/>
      <c r="E683" s="29" t="n"/>
      <c r="F683" s="29" t="n"/>
      <c r="G683" s="30" t="n"/>
      <c r="H683" s="31">
        <f>IF(G683="","",SUMIF(C$2:C683,"Masuk",G$2:G683)-SUMIF(C$2:C683,"Keluar",G$2:G683))</f>
        <v/>
      </c>
    </row>
    <row r="684">
      <c r="A684" s="22" t="n"/>
      <c r="B684" s="23" t="n"/>
      <c r="C684" s="24" t="n"/>
      <c r="D684" s="17" t="n"/>
      <c r="E684" s="17" t="n"/>
      <c r="F684" s="17" t="n"/>
      <c r="G684" s="15" t="n"/>
      <c r="H684" s="25">
        <f>IF(G684="","",SUMIF(C$2:C684,"Masuk",G$2:G684)-SUMIF(C$2:C684,"Keluar",G$2:G684))</f>
        <v/>
      </c>
    </row>
    <row r="685">
      <c r="A685" s="26" t="n"/>
      <c r="B685" s="27" t="n"/>
      <c r="C685" s="28" t="n"/>
      <c r="D685" s="29" t="n"/>
      <c r="E685" s="29" t="n"/>
      <c r="F685" s="29" t="n"/>
      <c r="G685" s="30" t="n"/>
      <c r="H685" s="31">
        <f>IF(G685="","",SUMIF(C$2:C685,"Masuk",G$2:G685)-SUMIF(C$2:C685,"Keluar",G$2:G685))</f>
        <v/>
      </c>
    </row>
    <row r="686">
      <c r="A686" s="22" t="n"/>
      <c r="B686" s="23" t="n"/>
      <c r="C686" s="24" t="n"/>
      <c r="D686" s="17" t="n"/>
      <c r="E686" s="17" t="n"/>
      <c r="F686" s="17" t="n"/>
      <c r="G686" s="15" t="n"/>
      <c r="H686" s="25">
        <f>IF(G686="","",SUMIF(C$2:C686,"Masuk",G$2:G686)-SUMIF(C$2:C686,"Keluar",G$2:G686))</f>
        <v/>
      </c>
    </row>
    <row r="687">
      <c r="A687" s="26" t="n"/>
      <c r="B687" s="27" t="n"/>
      <c r="C687" s="28" t="n"/>
      <c r="D687" s="29" t="n"/>
      <c r="E687" s="29" t="n"/>
      <c r="F687" s="29" t="n"/>
      <c r="G687" s="30" t="n"/>
      <c r="H687" s="31">
        <f>IF(G687="","",SUMIF(C$2:C687,"Masuk",G$2:G687)-SUMIF(C$2:C687,"Keluar",G$2:G687))</f>
        <v/>
      </c>
    </row>
    <row r="688">
      <c r="A688" s="22" t="n"/>
      <c r="B688" s="23" t="n"/>
      <c r="C688" s="24" t="n"/>
      <c r="D688" s="17" t="n"/>
      <c r="E688" s="17" t="n"/>
      <c r="F688" s="17" t="n"/>
      <c r="G688" s="15" t="n"/>
      <c r="H688" s="25">
        <f>IF(G688="","",SUMIF(C$2:C688,"Masuk",G$2:G688)-SUMIF(C$2:C688,"Keluar",G$2:G688))</f>
        <v/>
      </c>
    </row>
    <row r="689">
      <c r="A689" s="26" t="n"/>
      <c r="B689" s="27" t="n"/>
      <c r="C689" s="28" t="n"/>
      <c r="D689" s="29" t="n"/>
      <c r="E689" s="29" t="n"/>
      <c r="F689" s="29" t="n"/>
      <c r="G689" s="30" t="n"/>
      <c r="H689" s="31">
        <f>IF(G689="","",SUMIF(C$2:C689,"Masuk",G$2:G689)-SUMIF(C$2:C689,"Keluar",G$2:G689))</f>
        <v/>
      </c>
    </row>
    <row r="690">
      <c r="A690" s="22" t="n"/>
      <c r="B690" s="23" t="n"/>
      <c r="C690" s="24" t="n"/>
      <c r="D690" s="17" t="n"/>
      <c r="E690" s="17" t="n"/>
      <c r="F690" s="17" t="n"/>
      <c r="G690" s="15" t="n"/>
      <c r="H690" s="25">
        <f>IF(G690="","",SUMIF(C$2:C690,"Masuk",G$2:G690)-SUMIF(C$2:C690,"Keluar",G$2:G690))</f>
        <v/>
      </c>
    </row>
    <row r="691">
      <c r="A691" s="26" t="n"/>
      <c r="B691" s="27" t="n"/>
      <c r="C691" s="28" t="n"/>
      <c r="D691" s="29" t="n"/>
      <c r="E691" s="29" t="n"/>
      <c r="F691" s="29" t="n"/>
      <c r="G691" s="30" t="n"/>
      <c r="H691" s="31">
        <f>IF(G691="","",SUMIF(C$2:C691,"Masuk",G$2:G691)-SUMIF(C$2:C691,"Keluar",G$2:G691))</f>
        <v/>
      </c>
    </row>
    <row r="692">
      <c r="A692" s="22" t="n"/>
      <c r="B692" s="23" t="n"/>
      <c r="C692" s="24" t="n"/>
      <c r="D692" s="17" t="n"/>
      <c r="E692" s="17" t="n"/>
      <c r="F692" s="17" t="n"/>
      <c r="G692" s="15" t="n"/>
      <c r="H692" s="25">
        <f>IF(G692="","",SUMIF(C$2:C692,"Masuk",G$2:G692)-SUMIF(C$2:C692,"Keluar",G$2:G692))</f>
        <v/>
      </c>
    </row>
    <row r="693">
      <c r="A693" s="26" t="n"/>
      <c r="B693" s="27" t="n"/>
      <c r="C693" s="28" t="n"/>
      <c r="D693" s="29" t="n"/>
      <c r="E693" s="29" t="n"/>
      <c r="F693" s="29" t="n"/>
      <c r="G693" s="30" t="n"/>
      <c r="H693" s="31">
        <f>IF(G693="","",SUMIF(C$2:C693,"Masuk",G$2:G693)-SUMIF(C$2:C693,"Keluar",G$2:G693))</f>
        <v/>
      </c>
    </row>
    <row r="694">
      <c r="A694" s="22" t="n"/>
      <c r="B694" s="23" t="n"/>
      <c r="C694" s="24" t="n"/>
      <c r="D694" s="17" t="n"/>
      <c r="E694" s="17" t="n"/>
      <c r="F694" s="17" t="n"/>
      <c r="G694" s="15" t="n"/>
      <c r="H694" s="25">
        <f>IF(G694="","",SUMIF(C$2:C694,"Masuk",G$2:G694)-SUMIF(C$2:C694,"Keluar",G$2:G694))</f>
        <v/>
      </c>
    </row>
    <row r="695">
      <c r="A695" s="26" t="n"/>
      <c r="B695" s="27" t="n"/>
      <c r="C695" s="28" t="n"/>
      <c r="D695" s="29" t="n"/>
      <c r="E695" s="29" t="n"/>
      <c r="F695" s="29" t="n"/>
      <c r="G695" s="30" t="n"/>
      <c r="H695" s="31">
        <f>IF(G695="","",SUMIF(C$2:C695,"Masuk",G$2:G695)-SUMIF(C$2:C695,"Keluar",G$2:G695))</f>
        <v/>
      </c>
    </row>
    <row r="696">
      <c r="A696" s="22" t="n"/>
      <c r="B696" s="23" t="n"/>
      <c r="C696" s="24" t="n"/>
      <c r="D696" s="17" t="n"/>
      <c r="E696" s="17" t="n"/>
      <c r="F696" s="17" t="n"/>
      <c r="G696" s="15" t="n"/>
      <c r="H696" s="25">
        <f>IF(G696="","",SUMIF(C$2:C696,"Masuk",G$2:G696)-SUMIF(C$2:C696,"Keluar",G$2:G696))</f>
        <v/>
      </c>
    </row>
    <row r="697">
      <c r="A697" s="26" t="n"/>
      <c r="B697" s="27" t="n"/>
      <c r="C697" s="28" t="n"/>
      <c r="D697" s="29" t="n"/>
      <c r="E697" s="29" t="n"/>
      <c r="F697" s="29" t="n"/>
      <c r="G697" s="30" t="n"/>
      <c r="H697" s="31">
        <f>IF(G697="","",SUMIF(C$2:C697,"Masuk",G$2:G697)-SUMIF(C$2:C697,"Keluar",G$2:G697))</f>
        <v/>
      </c>
    </row>
    <row r="698">
      <c r="A698" s="22" t="n"/>
      <c r="B698" s="23" t="n"/>
      <c r="C698" s="24" t="n"/>
      <c r="D698" s="17" t="n"/>
      <c r="E698" s="17" t="n"/>
      <c r="F698" s="17" t="n"/>
      <c r="G698" s="15" t="n"/>
      <c r="H698" s="25">
        <f>IF(G698="","",SUMIF(C$2:C698,"Masuk",G$2:G698)-SUMIF(C$2:C698,"Keluar",G$2:G698))</f>
        <v/>
      </c>
    </row>
    <row r="699">
      <c r="A699" s="26" t="n"/>
      <c r="B699" s="27" t="n"/>
      <c r="C699" s="28" t="n"/>
      <c r="D699" s="29" t="n"/>
      <c r="E699" s="29" t="n"/>
      <c r="F699" s="29" t="n"/>
      <c r="G699" s="30" t="n"/>
      <c r="H699" s="31">
        <f>IF(G699="","",SUMIF(C$2:C699,"Masuk",G$2:G699)-SUMIF(C$2:C699,"Keluar",G$2:G699))</f>
        <v/>
      </c>
    </row>
    <row r="700">
      <c r="A700" s="22" t="n"/>
      <c r="B700" s="23" t="n"/>
      <c r="C700" s="24" t="n"/>
      <c r="D700" s="17" t="n"/>
      <c r="E700" s="17" t="n"/>
      <c r="F700" s="17" t="n"/>
      <c r="G700" s="15" t="n"/>
      <c r="H700" s="25">
        <f>IF(G700="","",SUMIF(C$2:C700,"Masuk",G$2:G700)-SUMIF(C$2:C700,"Keluar",G$2:G700))</f>
        <v/>
      </c>
    </row>
    <row r="701">
      <c r="A701" s="26" t="n"/>
      <c r="B701" s="27" t="n"/>
      <c r="C701" s="28" t="n"/>
      <c r="D701" s="29" t="n"/>
      <c r="E701" s="29" t="n"/>
      <c r="F701" s="29" t="n"/>
      <c r="G701" s="30" t="n"/>
      <c r="H701" s="31">
        <f>IF(G701="","",SUMIF(C$2:C701,"Masuk",G$2:G701)-SUMIF(C$2:C701,"Keluar",G$2:G701))</f>
        <v/>
      </c>
    </row>
    <row r="702">
      <c r="A702" s="22" t="n"/>
      <c r="B702" s="23" t="n"/>
      <c r="C702" s="24" t="n"/>
      <c r="D702" s="17" t="n"/>
      <c r="E702" s="17" t="n"/>
      <c r="F702" s="17" t="n"/>
      <c r="G702" s="15" t="n"/>
      <c r="H702" s="25">
        <f>IF(G702="","",SUMIF(C$2:C702,"Masuk",G$2:G702)-SUMIF(C$2:C702,"Keluar",G$2:G702))</f>
        <v/>
      </c>
    </row>
    <row r="703">
      <c r="A703" s="26" t="n"/>
      <c r="B703" s="27" t="n"/>
      <c r="C703" s="28" t="n"/>
      <c r="D703" s="29" t="n"/>
      <c r="E703" s="29" t="n"/>
      <c r="F703" s="29" t="n"/>
      <c r="G703" s="30" t="n"/>
      <c r="H703" s="31">
        <f>IF(G703="","",SUMIF(C$2:C703,"Masuk",G$2:G703)-SUMIF(C$2:C703,"Keluar",G$2:G703))</f>
        <v/>
      </c>
    </row>
    <row r="704">
      <c r="A704" s="22" t="n"/>
      <c r="B704" s="23" t="n"/>
      <c r="C704" s="24" t="n"/>
      <c r="D704" s="17" t="n"/>
      <c r="E704" s="17" t="n"/>
      <c r="F704" s="17" t="n"/>
      <c r="G704" s="15" t="n"/>
      <c r="H704" s="25">
        <f>IF(G704="","",SUMIF(C$2:C704,"Masuk",G$2:G704)-SUMIF(C$2:C704,"Keluar",G$2:G704))</f>
        <v/>
      </c>
    </row>
    <row r="705">
      <c r="A705" s="26" t="n"/>
      <c r="B705" s="27" t="n"/>
      <c r="C705" s="28" t="n"/>
      <c r="D705" s="29" t="n"/>
      <c r="E705" s="29" t="n"/>
      <c r="F705" s="29" t="n"/>
      <c r="G705" s="30" t="n"/>
      <c r="H705" s="31">
        <f>IF(G705="","",SUMIF(C$2:C705,"Masuk",G$2:G705)-SUMIF(C$2:C705,"Keluar",G$2:G705))</f>
        <v/>
      </c>
    </row>
    <row r="706">
      <c r="A706" s="22" t="n"/>
      <c r="B706" s="23" t="n"/>
      <c r="C706" s="24" t="n"/>
      <c r="D706" s="17" t="n"/>
      <c r="E706" s="17" t="n"/>
      <c r="F706" s="17" t="n"/>
      <c r="G706" s="15" t="n"/>
      <c r="H706" s="25">
        <f>IF(G706="","",SUMIF(C$2:C706,"Masuk",G$2:G706)-SUMIF(C$2:C706,"Keluar",G$2:G706))</f>
        <v/>
      </c>
    </row>
    <row r="707">
      <c r="A707" s="26" t="n"/>
      <c r="B707" s="27" t="n"/>
      <c r="C707" s="28" t="n"/>
      <c r="D707" s="29" t="n"/>
      <c r="E707" s="29" t="n"/>
      <c r="F707" s="29" t="n"/>
      <c r="G707" s="30" t="n"/>
      <c r="H707" s="31">
        <f>IF(G707="","",SUMIF(C$2:C707,"Masuk",G$2:G707)-SUMIF(C$2:C707,"Keluar",G$2:G707))</f>
        <v/>
      </c>
    </row>
    <row r="708">
      <c r="A708" s="22" t="n"/>
      <c r="B708" s="23" t="n"/>
      <c r="C708" s="24" t="n"/>
      <c r="D708" s="17" t="n"/>
      <c r="E708" s="17" t="n"/>
      <c r="F708" s="17" t="n"/>
      <c r="G708" s="15" t="n"/>
      <c r="H708" s="25">
        <f>IF(G708="","",SUMIF(C$2:C708,"Masuk",G$2:G708)-SUMIF(C$2:C708,"Keluar",G$2:G708))</f>
        <v/>
      </c>
    </row>
    <row r="709">
      <c r="A709" s="26" t="n"/>
      <c r="B709" s="27" t="n"/>
      <c r="C709" s="28" t="n"/>
      <c r="D709" s="29" t="n"/>
      <c r="E709" s="29" t="n"/>
      <c r="F709" s="29" t="n"/>
      <c r="G709" s="30" t="n"/>
      <c r="H709" s="31">
        <f>IF(G709="","",SUMIF(C$2:C709,"Masuk",G$2:G709)-SUMIF(C$2:C709,"Keluar",G$2:G709))</f>
        <v/>
      </c>
    </row>
    <row r="710">
      <c r="A710" s="22" t="n"/>
      <c r="B710" s="23" t="n"/>
      <c r="C710" s="24" t="n"/>
      <c r="D710" s="17" t="n"/>
      <c r="E710" s="17" t="n"/>
      <c r="F710" s="17" t="n"/>
      <c r="G710" s="15" t="n"/>
      <c r="H710" s="25">
        <f>IF(G710="","",SUMIF(C$2:C710,"Masuk",G$2:G710)-SUMIF(C$2:C710,"Keluar",G$2:G710))</f>
        <v/>
      </c>
    </row>
    <row r="711">
      <c r="A711" s="26" t="n"/>
      <c r="B711" s="27" t="n"/>
      <c r="C711" s="28" t="n"/>
      <c r="D711" s="29" t="n"/>
      <c r="E711" s="29" t="n"/>
      <c r="F711" s="29" t="n"/>
      <c r="G711" s="30" t="n"/>
      <c r="H711" s="31">
        <f>IF(G711="","",SUMIF(C$2:C711,"Masuk",G$2:G711)-SUMIF(C$2:C711,"Keluar",G$2:G711))</f>
        <v/>
      </c>
    </row>
    <row r="712">
      <c r="A712" s="22" t="n"/>
      <c r="B712" s="23" t="n"/>
      <c r="C712" s="24" t="n"/>
      <c r="D712" s="17" t="n"/>
      <c r="E712" s="17" t="n"/>
      <c r="F712" s="17" t="n"/>
      <c r="G712" s="15" t="n"/>
      <c r="H712" s="25">
        <f>IF(G712="","",SUMIF(C$2:C712,"Masuk",G$2:G712)-SUMIF(C$2:C712,"Keluar",G$2:G712))</f>
        <v/>
      </c>
    </row>
    <row r="713">
      <c r="A713" s="26" t="n"/>
      <c r="B713" s="27" t="n"/>
      <c r="C713" s="28" t="n"/>
      <c r="D713" s="29" t="n"/>
      <c r="E713" s="29" t="n"/>
      <c r="F713" s="29" t="n"/>
      <c r="G713" s="30" t="n"/>
      <c r="H713" s="31">
        <f>IF(G713="","",SUMIF(C$2:C713,"Masuk",G$2:G713)-SUMIF(C$2:C713,"Keluar",G$2:G713))</f>
        <v/>
      </c>
    </row>
    <row r="714">
      <c r="A714" s="22" t="n"/>
      <c r="B714" s="23" t="n"/>
      <c r="C714" s="24" t="n"/>
      <c r="D714" s="17" t="n"/>
      <c r="E714" s="17" t="n"/>
      <c r="F714" s="17" t="n"/>
      <c r="G714" s="15" t="n"/>
      <c r="H714" s="25">
        <f>IF(G714="","",SUMIF(C$2:C714,"Masuk",G$2:G714)-SUMIF(C$2:C714,"Keluar",G$2:G714))</f>
        <v/>
      </c>
    </row>
    <row r="715">
      <c r="A715" s="26" t="n"/>
      <c r="B715" s="27" t="n"/>
      <c r="C715" s="28" t="n"/>
      <c r="D715" s="29" t="n"/>
      <c r="E715" s="29" t="n"/>
      <c r="F715" s="29" t="n"/>
      <c r="G715" s="30" t="n"/>
      <c r="H715" s="31">
        <f>IF(G715="","",SUMIF(C$2:C715,"Masuk",G$2:G715)-SUMIF(C$2:C715,"Keluar",G$2:G715))</f>
        <v/>
      </c>
    </row>
    <row r="716">
      <c r="A716" s="22" t="n"/>
      <c r="B716" s="23" t="n"/>
      <c r="C716" s="24" t="n"/>
      <c r="D716" s="17" t="n"/>
      <c r="E716" s="17" t="n"/>
      <c r="F716" s="17" t="n"/>
      <c r="G716" s="15" t="n"/>
      <c r="H716" s="25">
        <f>IF(G716="","",SUMIF(C$2:C716,"Masuk",G$2:G716)-SUMIF(C$2:C716,"Keluar",G$2:G716))</f>
        <v/>
      </c>
    </row>
    <row r="717">
      <c r="A717" s="26" t="n"/>
      <c r="B717" s="27" t="n"/>
      <c r="C717" s="28" t="n"/>
      <c r="D717" s="29" t="n"/>
      <c r="E717" s="29" t="n"/>
      <c r="F717" s="29" t="n"/>
      <c r="G717" s="30" t="n"/>
      <c r="H717" s="31">
        <f>IF(G717="","",SUMIF(C$2:C717,"Masuk",G$2:G717)-SUMIF(C$2:C717,"Keluar",G$2:G717))</f>
        <v/>
      </c>
    </row>
    <row r="718">
      <c r="A718" s="22" t="n"/>
      <c r="B718" s="23" t="n"/>
      <c r="C718" s="24" t="n"/>
      <c r="D718" s="17" t="n"/>
      <c r="E718" s="17" t="n"/>
      <c r="F718" s="17" t="n"/>
      <c r="G718" s="15" t="n"/>
      <c r="H718" s="25">
        <f>IF(G718="","",SUMIF(C$2:C718,"Masuk",G$2:G718)-SUMIF(C$2:C718,"Keluar",G$2:G718))</f>
        <v/>
      </c>
    </row>
    <row r="719">
      <c r="A719" s="26" t="n"/>
      <c r="B719" s="27" t="n"/>
      <c r="C719" s="28" t="n"/>
      <c r="D719" s="29" t="n"/>
      <c r="E719" s="29" t="n"/>
      <c r="F719" s="29" t="n"/>
      <c r="G719" s="30" t="n"/>
      <c r="H719" s="31">
        <f>IF(G719="","",SUMIF(C$2:C719,"Masuk",G$2:G719)-SUMIF(C$2:C719,"Keluar",G$2:G719))</f>
        <v/>
      </c>
    </row>
    <row r="720">
      <c r="A720" s="22" t="n"/>
      <c r="B720" s="23" t="n"/>
      <c r="C720" s="24" t="n"/>
      <c r="D720" s="17" t="n"/>
      <c r="E720" s="17" t="n"/>
      <c r="F720" s="17" t="n"/>
      <c r="G720" s="15" t="n"/>
      <c r="H720" s="25">
        <f>IF(G720="","",SUMIF(C$2:C720,"Masuk",G$2:G720)-SUMIF(C$2:C720,"Keluar",G$2:G720))</f>
        <v/>
      </c>
    </row>
    <row r="721">
      <c r="A721" s="26" t="n"/>
      <c r="B721" s="27" t="n"/>
      <c r="C721" s="28" t="n"/>
      <c r="D721" s="29" t="n"/>
      <c r="E721" s="29" t="n"/>
      <c r="F721" s="29" t="n"/>
      <c r="G721" s="30" t="n"/>
      <c r="H721" s="31">
        <f>IF(G721="","",SUMIF(C$2:C721,"Masuk",G$2:G721)-SUMIF(C$2:C721,"Keluar",G$2:G721))</f>
        <v/>
      </c>
    </row>
    <row r="722">
      <c r="A722" s="22" t="n"/>
      <c r="B722" s="23" t="n"/>
      <c r="C722" s="24" t="n"/>
      <c r="D722" s="17" t="n"/>
      <c r="E722" s="17" t="n"/>
      <c r="F722" s="17" t="n"/>
      <c r="G722" s="15" t="n"/>
      <c r="H722" s="25">
        <f>IF(G722="","",SUMIF(C$2:C722,"Masuk",G$2:G722)-SUMIF(C$2:C722,"Keluar",G$2:G722))</f>
        <v/>
      </c>
    </row>
    <row r="723">
      <c r="A723" s="26" t="n"/>
      <c r="B723" s="27" t="n"/>
      <c r="C723" s="28" t="n"/>
      <c r="D723" s="29" t="n"/>
      <c r="E723" s="29" t="n"/>
      <c r="F723" s="29" t="n"/>
      <c r="G723" s="30" t="n"/>
      <c r="H723" s="31">
        <f>IF(G723="","",SUMIF(C$2:C723,"Masuk",G$2:G723)-SUMIF(C$2:C723,"Keluar",G$2:G723))</f>
        <v/>
      </c>
    </row>
    <row r="724">
      <c r="A724" s="22" t="n"/>
      <c r="B724" s="23" t="n"/>
      <c r="C724" s="24" t="n"/>
      <c r="D724" s="17" t="n"/>
      <c r="E724" s="17" t="n"/>
      <c r="F724" s="17" t="n"/>
      <c r="G724" s="15" t="n"/>
      <c r="H724" s="25">
        <f>IF(G724="","",SUMIF(C$2:C724,"Masuk",G$2:G724)-SUMIF(C$2:C724,"Keluar",G$2:G724))</f>
        <v/>
      </c>
    </row>
    <row r="725">
      <c r="A725" s="26" t="n"/>
      <c r="B725" s="27" t="n"/>
      <c r="C725" s="28" t="n"/>
      <c r="D725" s="29" t="n"/>
      <c r="E725" s="29" t="n"/>
      <c r="F725" s="29" t="n"/>
      <c r="G725" s="30" t="n"/>
      <c r="H725" s="31">
        <f>IF(G725="","",SUMIF(C$2:C725,"Masuk",G$2:G725)-SUMIF(C$2:C725,"Keluar",G$2:G725))</f>
        <v/>
      </c>
    </row>
    <row r="726">
      <c r="A726" s="22" t="n"/>
      <c r="B726" s="23" t="n"/>
      <c r="C726" s="24" t="n"/>
      <c r="D726" s="17" t="n"/>
      <c r="E726" s="17" t="n"/>
      <c r="F726" s="17" t="n"/>
      <c r="G726" s="15" t="n"/>
      <c r="H726" s="25">
        <f>IF(G726="","",SUMIF(C$2:C726,"Masuk",G$2:G726)-SUMIF(C$2:C726,"Keluar",G$2:G726))</f>
        <v/>
      </c>
    </row>
    <row r="727">
      <c r="A727" s="26" t="n"/>
      <c r="B727" s="27" t="n"/>
      <c r="C727" s="28" t="n"/>
      <c r="D727" s="29" t="n"/>
      <c r="E727" s="29" t="n"/>
      <c r="F727" s="29" t="n"/>
      <c r="G727" s="30" t="n"/>
      <c r="H727" s="31">
        <f>IF(G727="","",SUMIF(C$2:C727,"Masuk",G$2:G727)-SUMIF(C$2:C727,"Keluar",G$2:G727))</f>
        <v/>
      </c>
    </row>
    <row r="728">
      <c r="A728" s="22" t="n"/>
      <c r="B728" s="23" t="n"/>
      <c r="C728" s="24" t="n"/>
      <c r="D728" s="17" t="n"/>
      <c r="E728" s="17" t="n"/>
      <c r="F728" s="17" t="n"/>
      <c r="G728" s="15" t="n"/>
      <c r="H728" s="25">
        <f>IF(G728="","",SUMIF(C$2:C728,"Masuk",G$2:G728)-SUMIF(C$2:C728,"Keluar",G$2:G728))</f>
        <v/>
      </c>
    </row>
    <row r="729">
      <c r="A729" s="26" t="n"/>
      <c r="B729" s="27" t="n"/>
      <c r="C729" s="28" t="n"/>
      <c r="D729" s="29" t="n"/>
      <c r="E729" s="29" t="n"/>
      <c r="F729" s="29" t="n"/>
      <c r="G729" s="30" t="n"/>
      <c r="H729" s="31">
        <f>IF(G729="","",SUMIF(C$2:C729,"Masuk",G$2:G729)-SUMIF(C$2:C729,"Keluar",G$2:G729))</f>
        <v/>
      </c>
    </row>
    <row r="730">
      <c r="A730" s="22" t="n"/>
      <c r="B730" s="23" t="n"/>
      <c r="C730" s="24" t="n"/>
      <c r="D730" s="17" t="n"/>
      <c r="E730" s="17" t="n"/>
      <c r="F730" s="17" t="n"/>
      <c r="G730" s="15" t="n"/>
      <c r="H730" s="25">
        <f>IF(G730="","",SUMIF(C$2:C730,"Masuk",G$2:G730)-SUMIF(C$2:C730,"Keluar",G$2:G730))</f>
        <v/>
      </c>
    </row>
    <row r="731">
      <c r="A731" s="26" t="n"/>
      <c r="B731" s="27" t="n"/>
      <c r="C731" s="28" t="n"/>
      <c r="D731" s="29" t="n"/>
      <c r="E731" s="29" t="n"/>
      <c r="F731" s="29" t="n"/>
      <c r="G731" s="30" t="n"/>
      <c r="H731" s="31">
        <f>IF(G731="","",SUMIF(C$2:C731,"Masuk",G$2:G731)-SUMIF(C$2:C731,"Keluar",G$2:G731))</f>
        <v/>
      </c>
    </row>
    <row r="732">
      <c r="A732" s="22" t="n"/>
      <c r="B732" s="23" t="n"/>
      <c r="C732" s="24" t="n"/>
      <c r="D732" s="17" t="n"/>
      <c r="E732" s="17" t="n"/>
      <c r="F732" s="17" t="n"/>
      <c r="G732" s="15" t="n"/>
      <c r="H732" s="25">
        <f>IF(G732="","",SUMIF(C$2:C732,"Masuk",G$2:G732)-SUMIF(C$2:C732,"Keluar",G$2:G732))</f>
        <v/>
      </c>
    </row>
    <row r="733">
      <c r="A733" s="26" t="n"/>
      <c r="B733" s="27" t="n"/>
      <c r="C733" s="28" t="n"/>
      <c r="D733" s="29" t="n"/>
      <c r="E733" s="29" t="n"/>
      <c r="F733" s="29" t="n"/>
      <c r="G733" s="30" t="n"/>
      <c r="H733" s="31">
        <f>IF(G733="","",SUMIF(C$2:C733,"Masuk",G$2:G733)-SUMIF(C$2:C733,"Keluar",G$2:G733))</f>
        <v/>
      </c>
    </row>
    <row r="734">
      <c r="A734" s="22" t="n"/>
      <c r="B734" s="23" t="n"/>
      <c r="C734" s="24" t="n"/>
      <c r="D734" s="17" t="n"/>
      <c r="E734" s="17" t="n"/>
      <c r="F734" s="17" t="n"/>
      <c r="G734" s="15" t="n"/>
      <c r="H734" s="25">
        <f>IF(G734="","",SUMIF(C$2:C734,"Masuk",G$2:G734)-SUMIF(C$2:C734,"Keluar",G$2:G734))</f>
        <v/>
      </c>
    </row>
    <row r="735">
      <c r="A735" s="26" t="n"/>
      <c r="B735" s="27" t="n"/>
      <c r="C735" s="28" t="n"/>
      <c r="D735" s="29" t="n"/>
      <c r="E735" s="29" t="n"/>
      <c r="F735" s="29" t="n"/>
      <c r="G735" s="30" t="n"/>
      <c r="H735" s="31">
        <f>IF(G735="","",SUMIF(C$2:C735,"Masuk",G$2:G735)-SUMIF(C$2:C735,"Keluar",G$2:G735))</f>
        <v/>
      </c>
    </row>
    <row r="736">
      <c r="A736" s="22" t="n"/>
      <c r="B736" s="23" t="n"/>
      <c r="C736" s="24" t="n"/>
      <c r="D736" s="17" t="n"/>
      <c r="E736" s="17" t="n"/>
      <c r="F736" s="17" t="n"/>
      <c r="G736" s="15" t="n"/>
      <c r="H736" s="25">
        <f>IF(G736="","",SUMIF(C$2:C736,"Masuk",G$2:G736)-SUMIF(C$2:C736,"Keluar",G$2:G736))</f>
        <v/>
      </c>
    </row>
    <row r="737">
      <c r="A737" s="26" t="n"/>
      <c r="B737" s="27" t="n"/>
      <c r="C737" s="28" t="n"/>
      <c r="D737" s="29" t="n"/>
      <c r="E737" s="29" t="n"/>
      <c r="F737" s="29" t="n"/>
      <c r="G737" s="30" t="n"/>
      <c r="H737" s="31">
        <f>IF(G737="","",SUMIF(C$2:C737,"Masuk",G$2:G737)-SUMIF(C$2:C737,"Keluar",G$2:G737))</f>
        <v/>
      </c>
    </row>
    <row r="738">
      <c r="A738" s="22" t="n"/>
      <c r="B738" s="23" t="n"/>
      <c r="C738" s="24" t="n"/>
      <c r="D738" s="17" t="n"/>
      <c r="E738" s="17" t="n"/>
      <c r="F738" s="17" t="n"/>
      <c r="G738" s="15" t="n"/>
      <c r="H738" s="25">
        <f>IF(G738="","",SUMIF(C$2:C738,"Masuk",G$2:G738)-SUMIF(C$2:C738,"Keluar",G$2:G738))</f>
        <v/>
      </c>
    </row>
    <row r="739">
      <c r="A739" s="26" t="n"/>
      <c r="B739" s="27" t="n"/>
      <c r="C739" s="28" t="n"/>
      <c r="D739" s="29" t="n"/>
      <c r="E739" s="29" t="n"/>
      <c r="F739" s="29" t="n"/>
      <c r="G739" s="30" t="n"/>
      <c r="H739" s="31">
        <f>IF(G739="","",SUMIF(C$2:C739,"Masuk",G$2:G739)-SUMIF(C$2:C739,"Keluar",G$2:G739))</f>
        <v/>
      </c>
    </row>
    <row r="740">
      <c r="A740" s="22" t="n"/>
      <c r="B740" s="23" t="n"/>
      <c r="C740" s="24" t="n"/>
      <c r="D740" s="17" t="n"/>
      <c r="E740" s="17" t="n"/>
      <c r="F740" s="17" t="n"/>
      <c r="G740" s="15" t="n"/>
      <c r="H740" s="25">
        <f>IF(G740="","",SUMIF(C$2:C740,"Masuk",G$2:G740)-SUMIF(C$2:C740,"Keluar",G$2:G740))</f>
        <v/>
      </c>
    </row>
    <row r="741">
      <c r="A741" s="26" t="n"/>
      <c r="B741" s="27" t="n"/>
      <c r="C741" s="28" t="n"/>
      <c r="D741" s="29" t="n"/>
      <c r="E741" s="29" t="n"/>
      <c r="F741" s="29" t="n"/>
      <c r="G741" s="30" t="n"/>
      <c r="H741" s="31">
        <f>IF(G741="","",SUMIF(C$2:C741,"Masuk",G$2:G741)-SUMIF(C$2:C741,"Keluar",G$2:G741))</f>
        <v/>
      </c>
    </row>
    <row r="742">
      <c r="A742" s="22" t="n"/>
      <c r="B742" s="23" t="n"/>
      <c r="C742" s="24" t="n"/>
      <c r="D742" s="17" t="n"/>
      <c r="E742" s="17" t="n"/>
      <c r="F742" s="17" t="n"/>
      <c r="G742" s="15" t="n"/>
      <c r="H742" s="25">
        <f>IF(G742="","",SUMIF(C$2:C742,"Masuk",G$2:G742)-SUMIF(C$2:C742,"Keluar",G$2:G742))</f>
        <v/>
      </c>
    </row>
    <row r="743">
      <c r="A743" s="26" t="n"/>
      <c r="B743" s="27" t="n"/>
      <c r="C743" s="28" t="n"/>
      <c r="D743" s="29" t="n"/>
      <c r="E743" s="29" t="n"/>
      <c r="F743" s="29" t="n"/>
      <c r="G743" s="30" t="n"/>
      <c r="H743" s="31">
        <f>IF(G743="","",SUMIF(C$2:C743,"Masuk",G$2:G743)-SUMIF(C$2:C743,"Keluar",G$2:G743))</f>
        <v/>
      </c>
    </row>
    <row r="744">
      <c r="A744" s="22" t="n"/>
      <c r="B744" s="23" t="n"/>
      <c r="C744" s="24" t="n"/>
      <c r="D744" s="17" t="n"/>
      <c r="E744" s="17" t="n"/>
      <c r="F744" s="17" t="n"/>
      <c r="G744" s="15" t="n"/>
      <c r="H744" s="25">
        <f>IF(G744="","",SUMIF(C$2:C744,"Masuk",G$2:G744)-SUMIF(C$2:C744,"Keluar",G$2:G744))</f>
        <v/>
      </c>
    </row>
    <row r="745">
      <c r="A745" s="26" t="n"/>
      <c r="B745" s="27" t="n"/>
      <c r="C745" s="28" t="n"/>
      <c r="D745" s="29" t="n"/>
      <c r="E745" s="29" t="n"/>
      <c r="F745" s="29" t="n"/>
      <c r="G745" s="30" t="n"/>
      <c r="H745" s="31">
        <f>IF(G745="","",SUMIF(C$2:C745,"Masuk",G$2:G745)-SUMIF(C$2:C745,"Keluar",G$2:G745))</f>
        <v/>
      </c>
    </row>
    <row r="746">
      <c r="A746" s="22" t="n"/>
      <c r="B746" s="23" t="n"/>
      <c r="C746" s="24" t="n"/>
      <c r="D746" s="17" t="n"/>
      <c r="E746" s="17" t="n"/>
      <c r="F746" s="17" t="n"/>
      <c r="G746" s="15" t="n"/>
      <c r="H746" s="25">
        <f>IF(G746="","",SUMIF(C$2:C746,"Masuk",G$2:G746)-SUMIF(C$2:C746,"Keluar",G$2:G746))</f>
        <v/>
      </c>
    </row>
    <row r="747">
      <c r="A747" s="26" t="n"/>
      <c r="B747" s="27" t="n"/>
      <c r="C747" s="28" t="n"/>
      <c r="D747" s="29" t="n"/>
      <c r="E747" s="29" t="n"/>
      <c r="F747" s="29" t="n"/>
      <c r="G747" s="30" t="n"/>
      <c r="H747" s="31">
        <f>IF(G747="","",SUMIF(C$2:C747,"Masuk",G$2:G747)-SUMIF(C$2:C747,"Keluar",G$2:G747))</f>
        <v/>
      </c>
    </row>
    <row r="748">
      <c r="A748" s="22" t="n"/>
      <c r="B748" s="23" t="n"/>
      <c r="C748" s="24" t="n"/>
      <c r="D748" s="17" t="n"/>
      <c r="E748" s="17" t="n"/>
      <c r="F748" s="17" t="n"/>
      <c r="G748" s="15" t="n"/>
      <c r="H748" s="25">
        <f>IF(G748="","",SUMIF(C$2:C748,"Masuk",G$2:G748)-SUMIF(C$2:C748,"Keluar",G$2:G748))</f>
        <v/>
      </c>
    </row>
    <row r="749">
      <c r="A749" s="26" t="n"/>
      <c r="B749" s="27" t="n"/>
      <c r="C749" s="28" t="n"/>
      <c r="D749" s="29" t="n"/>
      <c r="E749" s="29" t="n"/>
      <c r="F749" s="29" t="n"/>
      <c r="G749" s="30" t="n"/>
      <c r="H749" s="31">
        <f>IF(G749="","",SUMIF(C$2:C749,"Masuk",G$2:G749)-SUMIF(C$2:C749,"Keluar",G$2:G749))</f>
        <v/>
      </c>
    </row>
    <row r="750">
      <c r="A750" s="22" t="n"/>
      <c r="B750" s="23" t="n"/>
      <c r="C750" s="24" t="n"/>
      <c r="D750" s="17" t="n"/>
      <c r="E750" s="17" t="n"/>
      <c r="F750" s="17" t="n"/>
      <c r="G750" s="15" t="n"/>
      <c r="H750" s="25">
        <f>IF(G750="","",SUMIF(C$2:C750,"Masuk",G$2:G750)-SUMIF(C$2:C750,"Keluar",G$2:G750))</f>
        <v/>
      </c>
    </row>
    <row r="751">
      <c r="A751" s="26" t="n"/>
      <c r="B751" s="27" t="n"/>
      <c r="C751" s="28" t="n"/>
      <c r="D751" s="29" t="n"/>
      <c r="E751" s="29" t="n"/>
      <c r="F751" s="29" t="n"/>
      <c r="G751" s="30" t="n"/>
      <c r="H751" s="31">
        <f>IF(G751="","",SUMIF(C$2:C751,"Masuk",G$2:G751)-SUMIF(C$2:C751,"Keluar",G$2:G751))</f>
        <v/>
      </c>
    </row>
    <row r="752">
      <c r="A752" s="22" t="n"/>
      <c r="B752" s="23" t="n"/>
      <c r="C752" s="24" t="n"/>
      <c r="D752" s="17" t="n"/>
      <c r="E752" s="17" t="n"/>
      <c r="F752" s="17" t="n"/>
      <c r="G752" s="15" t="n"/>
      <c r="H752" s="25">
        <f>IF(G752="","",SUMIF(C$2:C752,"Masuk",G$2:G752)-SUMIF(C$2:C752,"Keluar",G$2:G752))</f>
        <v/>
      </c>
    </row>
    <row r="753">
      <c r="A753" s="26" t="n"/>
      <c r="B753" s="27" t="n"/>
      <c r="C753" s="28" t="n"/>
      <c r="D753" s="29" t="n"/>
      <c r="E753" s="29" t="n"/>
      <c r="F753" s="29" t="n"/>
      <c r="G753" s="30" t="n"/>
      <c r="H753" s="31">
        <f>IF(G753="","",SUMIF(C$2:C753,"Masuk",G$2:G753)-SUMIF(C$2:C753,"Keluar",G$2:G753))</f>
        <v/>
      </c>
    </row>
    <row r="754">
      <c r="A754" s="22" t="n"/>
      <c r="B754" s="23" t="n"/>
      <c r="C754" s="24" t="n"/>
      <c r="D754" s="17" t="n"/>
      <c r="E754" s="17" t="n"/>
      <c r="F754" s="17" t="n"/>
      <c r="G754" s="15" t="n"/>
      <c r="H754" s="25">
        <f>IF(G754="","",SUMIF(C$2:C754,"Masuk",G$2:G754)-SUMIF(C$2:C754,"Keluar",G$2:G754))</f>
        <v/>
      </c>
    </row>
    <row r="755">
      <c r="A755" s="26" t="n"/>
      <c r="B755" s="27" t="n"/>
      <c r="C755" s="28" t="n"/>
      <c r="D755" s="29" t="n"/>
      <c r="E755" s="29" t="n"/>
      <c r="F755" s="29" t="n"/>
      <c r="G755" s="30" t="n"/>
      <c r="H755" s="31">
        <f>IF(G755="","",SUMIF(C$2:C755,"Masuk",G$2:G755)-SUMIF(C$2:C755,"Keluar",G$2:G755))</f>
        <v/>
      </c>
    </row>
    <row r="756">
      <c r="A756" s="22" t="n"/>
      <c r="B756" s="23" t="n"/>
      <c r="C756" s="24" t="n"/>
      <c r="D756" s="17" t="n"/>
      <c r="E756" s="17" t="n"/>
      <c r="F756" s="17" t="n"/>
      <c r="G756" s="15" t="n"/>
      <c r="H756" s="25">
        <f>IF(G756="","",SUMIF(C$2:C756,"Masuk",G$2:G756)-SUMIF(C$2:C756,"Keluar",G$2:G756))</f>
        <v/>
      </c>
    </row>
    <row r="757">
      <c r="A757" s="26" t="n"/>
      <c r="B757" s="27" t="n"/>
      <c r="C757" s="28" t="n"/>
      <c r="D757" s="29" t="n"/>
      <c r="E757" s="29" t="n"/>
      <c r="F757" s="29" t="n"/>
      <c r="G757" s="30" t="n"/>
      <c r="H757" s="31">
        <f>IF(G757="","",SUMIF(C$2:C757,"Masuk",G$2:G757)-SUMIF(C$2:C757,"Keluar",G$2:G757))</f>
        <v/>
      </c>
    </row>
    <row r="758">
      <c r="A758" s="22" t="n"/>
      <c r="B758" s="23" t="n"/>
      <c r="C758" s="24" t="n"/>
      <c r="D758" s="17" t="n"/>
      <c r="E758" s="17" t="n"/>
      <c r="F758" s="17" t="n"/>
      <c r="G758" s="15" t="n"/>
      <c r="H758" s="25">
        <f>IF(G758="","",SUMIF(C$2:C758,"Masuk",G$2:G758)-SUMIF(C$2:C758,"Keluar",G$2:G758))</f>
        <v/>
      </c>
    </row>
    <row r="759">
      <c r="A759" s="26" t="n"/>
      <c r="B759" s="27" t="n"/>
      <c r="C759" s="28" t="n"/>
      <c r="D759" s="29" t="n"/>
      <c r="E759" s="29" t="n"/>
      <c r="F759" s="29" t="n"/>
      <c r="G759" s="30" t="n"/>
      <c r="H759" s="31">
        <f>IF(G759="","",SUMIF(C$2:C759,"Masuk",G$2:G759)-SUMIF(C$2:C759,"Keluar",G$2:G759))</f>
        <v/>
      </c>
    </row>
    <row r="760">
      <c r="A760" s="22" t="n"/>
      <c r="B760" s="23" t="n"/>
      <c r="C760" s="24" t="n"/>
      <c r="D760" s="17" t="n"/>
      <c r="E760" s="17" t="n"/>
      <c r="F760" s="17" t="n"/>
      <c r="G760" s="15" t="n"/>
      <c r="H760" s="25">
        <f>IF(G760="","",SUMIF(C$2:C760,"Masuk",G$2:G760)-SUMIF(C$2:C760,"Keluar",G$2:G760))</f>
        <v/>
      </c>
    </row>
    <row r="761">
      <c r="A761" s="26" t="n"/>
      <c r="B761" s="27" t="n"/>
      <c r="C761" s="28" t="n"/>
      <c r="D761" s="29" t="n"/>
      <c r="E761" s="29" t="n"/>
      <c r="F761" s="29" t="n"/>
      <c r="G761" s="30" t="n"/>
      <c r="H761" s="31">
        <f>IF(G761="","",SUMIF(C$2:C761,"Masuk",G$2:G761)-SUMIF(C$2:C761,"Keluar",G$2:G761))</f>
        <v/>
      </c>
    </row>
    <row r="762">
      <c r="A762" s="22" t="n"/>
      <c r="B762" s="23" t="n"/>
      <c r="C762" s="24" t="n"/>
      <c r="D762" s="17" t="n"/>
      <c r="E762" s="17" t="n"/>
      <c r="F762" s="17" t="n"/>
      <c r="G762" s="15" t="n"/>
      <c r="H762" s="25">
        <f>IF(G762="","",SUMIF(C$2:C762,"Masuk",G$2:G762)-SUMIF(C$2:C762,"Keluar",G$2:G762))</f>
        <v/>
      </c>
    </row>
    <row r="763">
      <c r="A763" s="26" t="n"/>
      <c r="B763" s="27" t="n"/>
      <c r="C763" s="28" t="n"/>
      <c r="D763" s="29" t="n"/>
      <c r="E763" s="29" t="n"/>
      <c r="F763" s="29" t="n"/>
      <c r="G763" s="30" t="n"/>
      <c r="H763" s="31">
        <f>IF(G763="","",SUMIF(C$2:C763,"Masuk",G$2:G763)-SUMIF(C$2:C763,"Keluar",G$2:G763))</f>
        <v/>
      </c>
    </row>
    <row r="764">
      <c r="A764" s="22" t="n"/>
      <c r="B764" s="23" t="n"/>
      <c r="C764" s="24" t="n"/>
      <c r="D764" s="17" t="n"/>
      <c r="E764" s="17" t="n"/>
      <c r="F764" s="17" t="n"/>
      <c r="G764" s="15" t="n"/>
      <c r="H764" s="25">
        <f>IF(G764="","",SUMIF(C$2:C764,"Masuk",G$2:G764)-SUMIF(C$2:C764,"Keluar",G$2:G764))</f>
        <v/>
      </c>
    </row>
    <row r="765">
      <c r="A765" s="26" t="n"/>
      <c r="B765" s="27" t="n"/>
      <c r="C765" s="28" t="n"/>
      <c r="D765" s="29" t="n"/>
      <c r="E765" s="29" t="n"/>
      <c r="F765" s="29" t="n"/>
      <c r="G765" s="30" t="n"/>
      <c r="H765" s="31">
        <f>IF(G765="","",SUMIF(C$2:C765,"Masuk",G$2:G765)-SUMIF(C$2:C765,"Keluar",G$2:G765))</f>
        <v/>
      </c>
    </row>
    <row r="766">
      <c r="A766" s="22" t="n"/>
      <c r="B766" s="23" t="n"/>
      <c r="C766" s="24" t="n"/>
      <c r="D766" s="17" t="n"/>
      <c r="E766" s="17" t="n"/>
      <c r="F766" s="17" t="n"/>
      <c r="G766" s="15" t="n"/>
      <c r="H766" s="25">
        <f>IF(G766="","",SUMIF(C$2:C766,"Masuk",G$2:G766)-SUMIF(C$2:C766,"Keluar",G$2:G766))</f>
        <v/>
      </c>
    </row>
    <row r="767">
      <c r="A767" s="26" t="n"/>
      <c r="B767" s="27" t="n"/>
      <c r="C767" s="28" t="n"/>
      <c r="D767" s="29" t="n"/>
      <c r="E767" s="29" t="n"/>
      <c r="F767" s="29" t="n"/>
      <c r="G767" s="30" t="n"/>
      <c r="H767" s="31">
        <f>IF(G767="","",SUMIF(C$2:C767,"Masuk",G$2:G767)-SUMIF(C$2:C767,"Keluar",G$2:G767))</f>
        <v/>
      </c>
    </row>
    <row r="768">
      <c r="A768" s="22" t="n"/>
      <c r="B768" s="23" t="n"/>
      <c r="C768" s="24" t="n"/>
      <c r="D768" s="17" t="n"/>
      <c r="E768" s="17" t="n"/>
      <c r="F768" s="17" t="n"/>
      <c r="G768" s="15" t="n"/>
      <c r="H768" s="25">
        <f>IF(G768="","",SUMIF(C$2:C768,"Masuk",G$2:G768)-SUMIF(C$2:C768,"Keluar",G$2:G768))</f>
        <v/>
      </c>
    </row>
    <row r="769">
      <c r="A769" s="26" t="n"/>
      <c r="B769" s="27" t="n"/>
      <c r="C769" s="28" t="n"/>
      <c r="D769" s="29" t="n"/>
      <c r="E769" s="29" t="n"/>
      <c r="F769" s="29" t="n"/>
      <c r="G769" s="30" t="n"/>
      <c r="H769" s="31">
        <f>IF(G769="","",SUMIF(C$2:C769,"Masuk",G$2:G769)-SUMIF(C$2:C769,"Keluar",G$2:G769))</f>
        <v/>
      </c>
    </row>
    <row r="770">
      <c r="A770" s="22" t="n"/>
      <c r="B770" s="23" t="n"/>
      <c r="C770" s="24" t="n"/>
      <c r="D770" s="17" t="n"/>
      <c r="E770" s="17" t="n"/>
      <c r="F770" s="17" t="n"/>
      <c r="G770" s="15" t="n"/>
      <c r="H770" s="25">
        <f>IF(G770="","",SUMIF(C$2:C770,"Masuk",G$2:G770)-SUMIF(C$2:C770,"Keluar",G$2:G770))</f>
        <v/>
      </c>
    </row>
    <row r="771">
      <c r="A771" s="26" t="n"/>
      <c r="B771" s="27" t="n"/>
      <c r="C771" s="28" t="n"/>
      <c r="D771" s="29" t="n"/>
      <c r="E771" s="29" t="n"/>
      <c r="F771" s="29" t="n"/>
      <c r="G771" s="30" t="n"/>
      <c r="H771" s="31">
        <f>IF(G771="","",SUMIF(C$2:C771,"Masuk",G$2:G771)-SUMIF(C$2:C771,"Keluar",G$2:G771))</f>
        <v/>
      </c>
    </row>
    <row r="772">
      <c r="A772" s="22" t="n"/>
      <c r="B772" s="23" t="n"/>
      <c r="C772" s="24" t="n"/>
      <c r="D772" s="17" t="n"/>
      <c r="E772" s="17" t="n"/>
      <c r="F772" s="17" t="n"/>
      <c r="G772" s="15" t="n"/>
      <c r="H772" s="25">
        <f>IF(G772="","",SUMIF(C$2:C772,"Masuk",G$2:G772)-SUMIF(C$2:C772,"Keluar",G$2:G772))</f>
        <v/>
      </c>
    </row>
    <row r="773">
      <c r="A773" s="26" t="n"/>
      <c r="B773" s="27" t="n"/>
      <c r="C773" s="28" t="n"/>
      <c r="D773" s="29" t="n"/>
      <c r="E773" s="29" t="n"/>
      <c r="F773" s="29" t="n"/>
      <c r="G773" s="30" t="n"/>
      <c r="H773" s="31">
        <f>IF(G773="","",SUMIF(C$2:C773,"Masuk",G$2:G773)-SUMIF(C$2:C773,"Keluar",G$2:G773))</f>
        <v/>
      </c>
    </row>
    <row r="774">
      <c r="A774" s="22" t="n"/>
      <c r="B774" s="23" t="n"/>
      <c r="C774" s="24" t="n"/>
      <c r="D774" s="17" t="n"/>
      <c r="E774" s="17" t="n"/>
      <c r="F774" s="17" t="n"/>
      <c r="G774" s="15" t="n"/>
      <c r="H774" s="25">
        <f>IF(G774="","",SUMIF(C$2:C774,"Masuk",G$2:G774)-SUMIF(C$2:C774,"Keluar",G$2:G774))</f>
        <v/>
      </c>
    </row>
    <row r="775">
      <c r="A775" s="26" t="n"/>
      <c r="B775" s="27" t="n"/>
      <c r="C775" s="28" t="n"/>
      <c r="D775" s="29" t="n"/>
      <c r="E775" s="29" t="n"/>
      <c r="F775" s="29" t="n"/>
      <c r="G775" s="30" t="n"/>
      <c r="H775" s="31">
        <f>IF(G775="","",SUMIF(C$2:C775,"Masuk",G$2:G775)-SUMIF(C$2:C775,"Keluar",G$2:G775))</f>
        <v/>
      </c>
    </row>
    <row r="776">
      <c r="A776" s="22" t="n"/>
      <c r="B776" s="23" t="n"/>
      <c r="C776" s="24" t="n"/>
      <c r="D776" s="17" t="n"/>
      <c r="E776" s="17" t="n"/>
      <c r="F776" s="17" t="n"/>
      <c r="G776" s="15" t="n"/>
      <c r="H776" s="25">
        <f>IF(G776="","",SUMIF(C$2:C776,"Masuk",G$2:G776)-SUMIF(C$2:C776,"Keluar",G$2:G776))</f>
        <v/>
      </c>
    </row>
    <row r="777">
      <c r="A777" s="26" t="n"/>
      <c r="B777" s="27" t="n"/>
      <c r="C777" s="28" t="n"/>
      <c r="D777" s="29" t="n"/>
      <c r="E777" s="29" t="n"/>
      <c r="F777" s="29" t="n"/>
      <c r="G777" s="30" t="n"/>
      <c r="H777" s="31">
        <f>IF(G777="","",SUMIF(C$2:C777,"Masuk",G$2:G777)-SUMIF(C$2:C777,"Keluar",G$2:G777))</f>
        <v/>
      </c>
    </row>
    <row r="778">
      <c r="A778" s="22" t="n"/>
      <c r="B778" s="23" t="n"/>
      <c r="C778" s="24" t="n"/>
      <c r="D778" s="17" t="n"/>
      <c r="E778" s="17" t="n"/>
      <c r="F778" s="17" t="n"/>
      <c r="G778" s="15" t="n"/>
      <c r="H778" s="25">
        <f>IF(G778="","",SUMIF(C$2:C778,"Masuk",G$2:G778)-SUMIF(C$2:C778,"Keluar",G$2:G778))</f>
        <v/>
      </c>
    </row>
    <row r="779">
      <c r="A779" s="26" t="n"/>
      <c r="B779" s="27" t="n"/>
      <c r="C779" s="28" t="n"/>
      <c r="D779" s="29" t="n"/>
      <c r="E779" s="29" t="n"/>
      <c r="F779" s="29" t="n"/>
      <c r="G779" s="30" t="n"/>
      <c r="H779" s="31">
        <f>IF(G779="","",SUMIF(C$2:C779,"Masuk",G$2:G779)-SUMIF(C$2:C779,"Keluar",G$2:G779))</f>
        <v/>
      </c>
    </row>
    <row r="780">
      <c r="A780" s="22" t="n"/>
      <c r="B780" s="23" t="n"/>
      <c r="C780" s="24" t="n"/>
      <c r="D780" s="17" t="n"/>
      <c r="E780" s="17" t="n"/>
      <c r="F780" s="17" t="n"/>
      <c r="G780" s="15" t="n"/>
      <c r="H780" s="25">
        <f>IF(G780="","",SUMIF(C$2:C780,"Masuk",G$2:G780)-SUMIF(C$2:C780,"Keluar",G$2:G780))</f>
        <v/>
      </c>
    </row>
    <row r="781">
      <c r="A781" s="26" t="n"/>
      <c r="B781" s="27" t="n"/>
      <c r="C781" s="28" t="n"/>
      <c r="D781" s="29" t="n"/>
      <c r="E781" s="29" t="n"/>
      <c r="F781" s="29" t="n"/>
      <c r="G781" s="30" t="n"/>
      <c r="H781" s="31">
        <f>IF(G781="","",SUMIF(C$2:C781,"Masuk",G$2:G781)-SUMIF(C$2:C781,"Keluar",G$2:G781))</f>
        <v/>
      </c>
    </row>
    <row r="782">
      <c r="A782" s="22" t="n"/>
      <c r="B782" s="23" t="n"/>
      <c r="C782" s="24" t="n"/>
      <c r="D782" s="17" t="n"/>
      <c r="E782" s="17" t="n"/>
      <c r="F782" s="17" t="n"/>
      <c r="G782" s="15" t="n"/>
      <c r="H782" s="25">
        <f>IF(G782="","",SUMIF(C$2:C782,"Masuk",G$2:G782)-SUMIF(C$2:C782,"Keluar",G$2:G782))</f>
        <v/>
      </c>
    </row>
    <row r="783">
      <c r="A783" s="26" t="n"/>
      <c r="B783" s="27" t="n"/>
      <c r="C783" s="28" t="n"/>
      <c r="D783" s="29" t="n"/>
      <c r="E783" s="29" t="n"/>
      <c r="F783" s="29" t="n"/>
      <c r="G783" s="30" t="n"/>
      <c r="H783" s="31">
        <f>IF(G783="","",SUMIF(C$2:C783,"Masuk",G$2:G783)-SUMIF(C$2:C783,"Keluar",G$2:G783))</f>
        <v/>
      </c>
    </row>
    <row r="784">
      <c r="A784" s="22" t="n"/>
      <c r="B784" s="23" t="n"/>
      <c r="C784" s="24" t="n"/>
      <c r="D784" s="17" t="n"/>
      <c r="E784" s="17" t="n"/>
      <c r="F784" s="17" t="n"/>
      <c r="G784" s="15" t="n"/>
      <c r="H784" s="25">
        <f>IF(G784="","",SUMIF(C$2:C784,"Masuk",G$2:G784)-SUMIF(C$2:C784,"Keluar",G$2:G784))</f>
        <v/>
      </c>
    </row>
    <row r="785">
      <c r="A785" s="26" t="n"/>
      <c r="B785" s="27" t="n"/>
      <c r="C785" s="28" t="n"/>
      <c r="D785" s="29" t="n"/>
      <c r="E785" s="29" t="n"/>
      <c r="F785" s="29" t="n"/>
      <c r="G785" s="30" t="n"/>
      <c r="H785" s="31">
        <f>IF(G785="","",SUMIF(C$2:C785,"Masuk",G$2:G785)-SUMIF(C$2:C785,"Keluar",G$2:G785))</f>
        <v/>
      </c>
    </row>
    <row r="786">
      <c r="A786" s="22" t="n"/>
      <c r="B786" s="23" t="n"/>
      <c r="C786" s="24" t="n"/>
      <c r="D786" s="17" t="n"/>
      <c r="E786" s="17" t="n"/>
      <c r="F786" s="17" t="n"/>
      <c r="G786" s="15" t="n"/>
      <c r="H786" s="25">
        <f>IF(G786="","",SUMIF(C$2:C786,"Masuk",G$2:G786)-SUMIF(C$2:C786,"Keluar",G$2:G786))</f>
        <v/>
      </c>
    </row>
    <row r="787">
      <c r="A787" s="26" t="n"/>
      <c r="B787" s="27" t="n"/>
      <c r="C787" s="28" t="n"/>
      <c r="D787" s="29" t="n"/>
      <c r="E787" s="29" t="n"/>
      <c r="F787" s="29" t="n"/>
      <c r="G787" s="30" t="n"/>
      <c r="H787" s="31">
        <f>IF(G787="","",SUMIF(C$2:C787,"Masuk",G$2:G787)-SUMIF(C$2:C787,"Keluar",G$2:G787))</f>
        <v/>
      </c>
    </row>
    <row r="788">
      <c r="A788" s="22" t="n"/>
      <c r="B788" s="23" t="n"/>
      <c r="C788" s="24" t="n"/>
      <c r="D788" s="17" t="n"/>
      <c r="E788" s="17" t="n"/>
      <c r="F788" s="17" t="n"/>
      <c r="G788" s="15" t="n"/>
      <c r="H788" s="25">
        <f>IF(G788="","",SUMIF(C$2:C788,"Masuk",G$2:G788)-SUMIF(C$2:C788,"Keluar",G$2:G788))</f>
        <v/>
      </c>
    </row>
    <row r="789">
      <c r="A789" s="26" t="n"/>
      <c r="B789" s="27" t="n"/>
      <c r="C789" s="28" t="n"/>
      <c r="D789" s="29" t="n"/>
      <c r="E789" s="29" t="n"/>
      <c r="F789" s="29" t="n"/>
      <c r="G789" s="30" t="n"/>
      <c r="H789" s="31">
        <f>IF(G789="","",SUMIF(C$2:C789,"Masuk",G$2:G789)-SUMIF(C$2:C789,"Keluar",G$2:G789))</f>
        <v/>
      </c>
    </row>
    <row r="790">
      <c r="A790" s="22" t="n"/>
      <c r="B790" s="23" t="n"/>
      <c r="C790" s="24" t="n"/>
      <c r="D790" s="17" t="n"/>
      <c r="E790" s="17" t="n"/>
      <c r="F790" s="17" t="n"/>
      <c r="G790" s="15" t="n"/>
      <c r="H790" s="25">
        <f>IF(G790="","",SUMIF(C$2:C790,"Masuk",G$2:G790)-SUMIF(C$2:C790,"Keluar",G$2:G790))</f>
        <v/>
      </c>
    </row>
    <row r="791">
      <c r="A791" s="26" t="n"/>
      <c r="B791" s="27" t="n"/>
      <c r="C791" s="28" t="n"/>
      <c r="D791" s="29" t="n"/>
      <c r="E791" s="29" t="n"/>
      <c r="F791" s="29" t="n"/>
      <c r="G791" s="30" t="n"/>
      <c r="H791" s="31">
        <f>IF(G791="","",SUMIF(C$2:C791,"Masuk",G$2:G791)-SUMIF(C$2:C791,"Keluar",G$2:G791))</f>
        <v/>
      </c>
    </row>
    <row r="792">
      <c r="A792" s="22" t="n"/>
      <c r="B792" s="23" t="n"/>
      <c r="C792" s="24" t="n"/>
      <c r="D792" s="17" t="n"/>
      <c r="E792" s="17" t="n"/>
      <c r="F792" s="17" t="n"/>
      <c r="G792" s="15" t="n"/>
      <c r="H792" s="25">
        <f>IF(G792="","",SUMIF(C$2:C792,"Masuk",G$2:G792)-SUMIF(C$2:C792,"Keluar",G$2:G792))</f>
        <v/>
      </c>
    </row>
    <row r="793">
      <c r="A793" s="26" t="n"/>
      <c r="B793" s="27" t="n"/>
      <c r="C793" s="28" t="n"/>
      <c r="D793" s="29" t="n"/>
      <c r="E793" s="29" t="n"/>
      <c r="F793" s="29" t="n"/>
      <c r="G793" s="30" t="n"/>
      <c r="H793" s="31">
        <f>IF(G793="","",SUMIF(C$2:C793,"Masuk",G$2:G793)-SUMIF(C$2:C793,"Keluar",G$2:G793))</f>
        <v/>
      </c>
    </row>
    <row r="794">
      <c r="A794" s="22" t="n"/>
      <c r="B794" s="23" t="n"/>
      <c r="C794" s="24" t="n"/>
      <c r="D794" s="17" t="n"/>
      <c r="E794" s="17" t="n"/>
      <c r="F794" s="17" t="n"/>
      <c r="G794" s="15" t="n"/>
      <c r="H794" s="25">
        <f>IF(G794="","",SUMIF(C$2:C794,"Masuk",G$2:G794)-SUMIF(C$2:C794,"Keluar",G$2:G794))</f>
        <v/>
      </c>
    </row>
    <row r="795">
      <c r="A795" s="26" t="n"/>
      <c r="B795" s="27" t="n"/>
      <c r="C795" s="28" t="n"/>
      <c r="D795" s="29" t="n"/>
      <c r="E795" s="29" t="n"/>
      <c r="F795" s="29" t="n"/>
      <c r="G795" s="30" t="n"/>
      <c r="H795" s="31">
        <f>IF(G795="","",SUMIF(C$2:C795,"Masuk",G$2:G795)-SUMIF(C$2:C795,"Keluar",G$2:G795))</f>
        <v/>
      </c>
    </row>
    <row r="796">
      <c r="A796" s="22" t="n"/>
      <c r="B796" s="23" t="n"/>
      <c r="C796" s="24" t="n"/>
      <c r="D796" s="17" t="n"/>
      <c r="E796" s="17" t="n"/>
      <c r="F796" s="17" t="n"/>
      <c r="G796" s="15" t="n"/>
      <c r="H796" s="25">
        <f>IF(G796="","",SUMIF(C$2:C796,"Masuk",G$2:G796)-SUMIF(C$2:C796,"Keluar",G$2:G796))</f>
        <v/>
      </c>
    </row>
    <row r="797">
      <c r="A797" s="26" t="n"/>
      <c r="B797" s="27" t="n"/>
      <c r="C797" s="28" t="n"/>
      <c r="D797" s="29" t="n"/>
      <c r="E797" s="29" t="n"/>
      <c r="F797" s="29" t="n"/>
      <c r="G797" s="30" t="n"/>
      <c r="H797" s="31">
        <f>IF(G797="","",SUMIF(C$2:C797,"Masuk",G$2:G797)-SUMIF(C$2:C797,"Keluar",G$2:G797))</f>
        <v/>
      </c>
    </row>
    <row r="798">
      <c r="A798" s="22" t="n"/>
      <c r="B798" s="23" t="n"/>
      <c r="C798" s="24" t="n"/>
      <c r="D798" s="17" t="n"/>
      <c r="E798" s="17" t="n"/>
      <c r="F798" s="17" t="n"/>
      <c r="G798" s="15" t="n"/>
      <c r="H798" s="25">
        <f>IF(G798="","",SUMIF(C$2:C798,"Masuk",G$2:G798)-SUMIF(C$2:C798,"Keluar",G$2:G798))</f>
        <v/>
      </c>
    </row>
    <row r="799">
      <c r="A799" s="26" t="n"/>
      <c r="B799" s="27" t="n"/>
      <c r="C799" s="28" t="n"/>
      <c r="D799" s="29" t="n"/>
      <c r="E799" s="29" t="n"/>
      <c r="F799" s="29" t="n"/>
      <c r="G799" s="30" t="n"/>
      <c r="H799" s="31">
        <f>IF(G799="","",SUMIF(C$2:C799,"Masuk",G$2:G799)-SUMIF(C$2:C799,"Keluar",G$2:G799))</f>
        <v/>
      </c>
    </row>
    <row r="800">
      <c r="A800" s="22" t="n"/>
      <c r="B800" s="23" t="n"/>
      <c r="C800" s="24" t="n"/>
      <c r="D800" s="17" t="n"/>
      <c r="E800" s="17" t="n"/>
      <c r="F800" s="17" t="n"/>
      <c r="G800" s="15" t="n"/>
      <c r="H800" s="25">
        <f>IF(G800="","",SUMIF(C$2:C800,"Masuk",G$2:G800)-SUMIF(C$2:C800,"Keluar",G$2:G800))</f>
        <v/>
      </c>
    </row>
    <row r="801">
      <c r="A801" s="26" t="n"/>
      <c r="B801" s="27" t="n"/>
      <c r="C801" s="28" t="n"/>
      <c r="D801" s="29" t="n"/>
      <c r="E801" s="29" t="n"/>
      <c r="F801" s="29" t="n"/>
      <c r="G801" s="30" t="n"/>
      <c r="H801" s="31">
        <f>IF(G801="","",SUMIF(C$2:C801,"Masuk",G$2:G801)-SUMIF(C$2:C801,"Keluar",G$2:G801))</f>
        <v/>
      </c>
    </row>
    <row r="802">
      <c r="A802" s="22" t="n"/>
      <c r="B802" s="23" t="n"/>
      <c r="C802" s="24" t="n"/>
      <c r="D802" s="17" t="n"/>
      <c r="E802" s="17" t="n"/>
      <c r="F802" s="17" t="n"/>
      <c r="G802" s="15" t="n"/>
      <c r="H802" s="25">
        <f>IF(G802="","",SUMIF(C$2:C802,"Masuk",G$2:G802)-SUMIF(C$2:C802,"Keluar",G$2:G802))</f>
        <v/>
      </c>
    </row>
    <row r="803">
      <c r="A803" s="26" t="n"/>
      <c r="B803" s="27" t="n"/>
      <c r="C803" s="28" t="n"/>
      <c r="D803" s="29" t="n"/>
      <c r="E803" s="29" t="n"/>
      <c r="F803" s="29" t="n"/>
      <c r="G803" s="30" t="n"/>
      <c r="H803" s="31">
        <f>IF(G803="","",SUMIF(C$2:C803,"Masuk",G$2:G803)-SUMIF(C$2:C803,"Keluar",G$2:G803))</f>
        <v/>
      </c>
    </row>
    <row r="804">
      <c r="A804" s="22" t="n"/>
      <c r="B804" s="23" t="n"/>
      <c r="C804" s="24" t="n"/>
      <c r="D804" s="17" t="n"/>
      <c r="E804" s="17" t="n"/>
      <c r="F804" s="17" t="n"/>
      <c r="G804" s="15" t="n"/>
      <c r="H804" s="25">
        <f>IF(G804="","",SUMIF(C$2:C804,"Masuk",G$2:G804)-SUMIF(C$2:C804,"Keluar",G$2:G804))</f>
        <v/>
      </c>
    </row>
    <row r="805">
      <c r="A805" s="26" t="n"/>
      <c r="B805" s="27" t="n"/>
      <c r="C805" s="28" t="n"/>
      <c r="D805" s="29" t="n"/>
      <c r="E805" s="29" t="n"/>
      <c r="F805" s="29" t="n"/>
      <c r="G805" s="30" t="n"/>
      <c r="H805" s="31">
        <f>IF(G805="","",SUMIF(C$2:C805,"Masuk",G$2:G805)-SUMIF(C$2:C805,"Keluar",G$2:G805))</f>
        <v/>
      </c>
    </row>
    <row r="806">
      <c r="A806" s="22" t="n"/>
      <c r="B806" s="23" t="n"/>
      <c r="C806" s="24" t="n"/>
      <c r="D806" s="17" t="n"/>
      <c r="E806" s="17" t="n"/>
      <c r="F806" s="17" t="n"/>
      <c r="G806" s="15" t="n"/>
      <c r="H806" s="25">
        <f>IF(G806="","",SUMIF(C$2:C806,"Masuk",G$2:G806)-SUMIF(C$2:C806,"Keluar",G$2:G806))</f>
        <v/>
      </c>
    </row>
    <row r="807">
      <c r="A807" s="26" t="n"/>
      <c r="B807" s="27" t="n"/>
      <c r="C807" s="28" t="n"/>
      <c r="D807" s="29" t="n"/>
      <c r="E807" s="29" t="n"/>
      <c r="F807" s="29" t="n"/>
      <c r="G807" s="30" t="n"/>
      <c r="H807" s="31">
        <f>IF(G807="","",SUMIF(C$2:C807,"Masuk",G$2:G807)-SUMIF(C$2:C807,"Keluar",G$2:G807))</f>
        <v/>
      </c>
    </row>
    <row r="808">
      <c r="A808" s="22" t="n"/>
      <c r="B808" s="23" t="n"/>
      <c r="C808" s="24" t="n"/>
      <c r="D808" s="17" t="n"/>
      <c r="E808" s="17" t="n"/>
      <c r="F808" s="17" t="n"/>
      <c r="G808" s="15" t="n"/>
      <c r="H808" s="25">
        <f>IF(G808="","",SUMIF(C$2:C808,"Masuk",G$2:G808)-SUMIF(C$2:C808,"Keluar",G$2:G808))</f>
        <v/>
      </c>
    </row>
    <row r="809">
      <c r="A809" s="26" t="n"/>
      <c r="B809" s="27" t="n"/>
      <c r="C809" s="28" t="n"/>
      <c r="D809" s="29" t="n"/>
      <c r="E809" s="29" t="n"/>
      <c r="F809" s="29" t="n"/>
      <c r="G809" s="30" t="n"/>
      <c r="H809" s="31">
        <f>IF(G809="","",SUMIF(C$2:C809,"Masuk",G$2:G809)-SUMIF(C$2:C809,"Keluar",G$2:G809))</f>
        <v/>
      </c>
    </row>
    <row r="810">
      <c r="A810" s="22" t="n"/>
      <c r="B810" s="23" t="n"/>
      <c r="C810" s="24" t="n"/>
      <c r="D810" s="17" t="n"/>
      <c r="E810" s="17" t="n"/>
      <c r="F810" s="17" t="n"/>
      <c r="G810" s="15" t="n"/>
      <c r="H810" s="25">
        <f>IF(G810="","",SUMIF(C$2:C810,"Masuk",G$2:G810)-SUMIF(C$2:C810,"Keluar",G$2:G810))</f>
        <v/>
      </c>
    </row>
    <row r="811">
      <c r="A811" s="26" t="n"/>
      <c r="B811" s="27" t="n"/>
      <c r="C811" s="28" t="n"/>
      <c r="D811" s="29" t="n"/>
      <c r="E811" s="29" t="n"/>
      <c r="F811" s="29" t="n"/>
      <c r="G811" s="30" t="n"/>
      <c r="H811" s="31">
        <f>IF(G811="","",SUMIF(C$2:C811,"Masuk",G$2:G811)-SUMIF(C$2:C811,"Keluar",G$2:G811))</f>
        <v/>
      </c>
    </row>
    <row r="812">
      <c r="A812" s="22" t="n"/>
      <c r="B812" s="23" t="n"/>
      <c r="C812" s="24" t="n"/>
      <c r="D812" s="17" t="n"/>
      <c r="E812" s="17" t="n"/>
      <c r="F812" s="17" t="n"/>
      <c r="G812" s="15" t="n"/>
      <c r="H812" s="25">
        <f>IF(G812="","",SUMIF(C$2:C812,"Masuk",G$2:G812)-SUMIF(C$2:C812,"Keluar",G$2:G812))</f>
        <v/>
      </c>
    </row>
    <row r="813">
      <c r="A813" s="26" t="n"/>
      <c r="B813" s="27" t="n"/>
      <c r="C813" s="28" t="n"/>
      <c r="D813" s="29" t="n"/>
      <c r="E813" s="29" t="n"/>
      <c r="F813" s="29" t="n"/>
      <c r="G813" s="30" t="n"/>
      <c r="H813" s="31">
        <f>IF(G813="","",SUMIF(C$2:C813,"Masuk",G$2:G813)-SUMIF(C$2:C813,"Keluar",G$2:G813))</f>
        <v/>
      </c>
    </row>
    <row r="814">
      <c r="A814" s="22" t="n"/>
      <c r="B814" s="23" t="n"/>
      <c r="C814" s="24" t="n"/>
      <c r="D814" s="17" t="n"/>
      <c r="E814" s="17" t="n"/>
      <c r="F814" s="17" t="n"/>
      <c r="G814" s="15" t="n"/>
      <c r="H814" s="25">
        <f>IF(G814="","",SUMIF(C$2:C814,"Masuk",G$2:G814)-SUMIF(C$2:C814,"Keluar",G$2:G814))</f>
        <v/>
      </c>
    </row>
    <row r="815">
      <c r="A815" s="26" t="n"/>
      <c r="B815" s="27" t="n"/>
      <c r="C815" s="28" t="n"/>
      <c r="D815" s="29" t="n"/>
      <c r="E815" s="29" t="n"/>
      <c r="F815" s="29" t="n"/>
      <c r="G815" s="30" t="n"/>
      <c r="H815" s="31">
        <f>IF(G815="","",SUMIF(C$2:C815,"Masuk",G$2:G815)-SUMIF(C$2:C815,"Keluar",G$2:G815))</f>
        <v/>
      </c>
    </row>
    <row r="816">
      <c r="A816" s="22" t="n"/>
      <c r="B816" s="23" t="n"/>
      <c r="C816" s="24" t="n"/>
      <c r="D816" s="17" t="n"/>
      <c r="E816" s="17" t="n"/>
      <c r="F816" s="17" t="n"/>
      <c r="G816" s="15" t="n"/>
      <c r="H816" s="25">
        <f>IF(G816="","",SUMIF(C$2:C816,"Masuk",G$2:G816)-SUMIF(C$2:C816,"Keluar",G$2:G816))</f>
        <v/>
      </c>
    </row>
    <row r="817">
      <c r="A817" s="26" t="n"/>
      <c r="B817" s="27" t="n"/>
      <c r="C817" s="28" t="n"/>
      <c r="D817" s="29" t="n"/>
      <c r="E817" s="29" t="n"/>
      <c r="F817" s="29" t="n"/>
      <c r="G817" s="30" t="n"/>
      <c r="H817" s="31">
        <f>IF(G817="","",SUMIF(C$2:C817,"Masuk",G$2:G817)-SUMIF(C$2:C817,"Keluar",G$2:G817))</f>
        <v/>
      </c>
    </row>
    <row r="818">
      <c r="A818" s="22" t="n"/>
      <c r="B818" s="23" t="n"/>
      <c r="C818" s="24" t="n"/>
      <c r="D818" s="17" t="n"/>
      <c r="E818" s="17" t="n"/>
      <c r="F818" s="17" t="n"/>
      <c r="G818" s="15" t="n"/>
      <c r="H818" s="25">
        <f>IF(G818="","",SUMIF(C$2:C818,"Masuk",G$2:G818)-SUMIF(C$2:C818,"Keluar",G$2:G818))</f>
        <v/>
      </c>
    </row>
    <row r="819">
      <c r="A819" s="26" t="n"/>
      <c r="B819" s="27" t="n"/>
      <c r="C819" s="28" t="n"/>
      <c r="D819" s="29" t="n"/>
      <c r="E819" s="29" t="n"/>
      <c r="F819" s="29" t="n"/>
      <c r="G819" s="30" t="n"/>
      <c r="H819" s="31">
        <f>IF(G819="","",SUMIF(C$2:C819,"Masuk",G$2:G819)-SUMIF(C$2:C819,"Keluar",G$2:G819))</f>
        <v/>
      </c>
    </row>
    <row r="820">
      <c r="A820" s="22" t="n"/>
      <c r="B820" s="23" t="n"/>
      <c r="C820" s="24" t="n"/>
      <c r="D820" s="17" t="n"/>
      <c r="E820" s="17" t="n"/>
      <c r="F820" s="17" t="n"/>
      <c r="G820" s="15" t="n"/>
      <c r="H820" s="25">
        <f>IF(G820="","",SUMIF(C$2:C820,"Masuk",G$2:G820)-SUMIF(C$2:C820,"Keluar",G$2:G820))</f>
        <v/>
      </c>
    </row>
    <row r="821">
      <c r="A821" s="26" t="n"/>
      <c r="B821" s="27" t="n"/>
      <c r="C821" s="28" t="n"/>
      <c r="D821" s="29" t="n"/>
      <c r="E821" s="29" t="n"/>
      <c r="F821" s="29" t="n"/>
      <c r="G821" s="30" t="n"/>
      <c r="H821" s="31">
        <f>IF(G821="","",SUMIF(C$2:C821,"Masuk",G$2:G821)-SUMIF(C$2:C821,"Keluar",G$2:G821))</f>
        <v/>
      </c>
    </row>
    <row r="822">
      <c r="A822" s="22" t="n"/>
      <c r="B822" s="23" t="n"/>
      <c r="C822" s="24" t="n"/>
      <c r="D822" s="17" t="n"/>
      <c r="E822" s="17" t="n"/>
      <c r="F822" s="17" t="n"/>
      <c r="G822" s="15" t="n"/>
      <c r="H822" s="25">
        <f>IF(G822="","",SUMIF(C$2:C822,"Masuk",G$2:G822)-SUMIF(C$2:C822,"Keluar",G$2:G822))</f>
        <v/>
      </c>
    </row>
    <row r="823">
      <c r="A823" s="26" t="n"/>
      <c r="B823" s="27" t="n"/>
      <c r="C823" s="28" t="n"/>
      <c r="D823" s="29" t="n"/>
      <c r="E823" s="29" t="n"/>
      <c r="F823" s="29" t="n"/>
      <c r="G823" s="30" t="n"/>
      <c r="H823" s="31">
        <f>IF(G823="","",SUMIF(C$2:C823,"Masuk",G$2:G823)-SUMIF(C$2:C823,"Keluar",G$2:G823))</f>
        <v/>
      </c>
    </row>
    <row r="824">
      <c r="A824" s="22" t="n"/>
      <c r="B824" s="23" t="n"/>
      <c r="C824" s="24" t="n"/>
      <c r="D824" s="17" t="n"/>
      <c r="E824" s="17" t="n"/>
      <c r="F824" s="17" t="n"/>
      <c r="G824" s="15" t="n"/>
      <c r="H824" s="25">
        <f>IF(G824="","",SUMIF(C$2:C824,"Masuk",G$2:G824)-SUMIF(C$2:C824,"Keluar",G$2:G824))</f>
        <v/>
      </c>
    </row>
    <row r="825">
      <c r="A825" s="26" t="n"/>
      <c r="B825" s="27" t="n"/>
      <c r="C825" s="28" t="n"/>
      <c r="D825" s="29" t="n"/>
      <c r="E825" s="29" t="n"/>
      <c r="F825" s="29" t="n"/>
      <c r="G825" s="30" t="n"/>
      <c r="H825" s="31">
        <f>IF(G825="","",SUMIF(C$2:C825,"Masuk",G$2:G825)-SUMIF(C$2:C825,"Keluar",G$2:G825))</f>
        <v/>
      </c>
    </row>
    <row r="826">
      <c r="A826" s="22" t="n"/>
      <c r="B826" s="23" t="n"/>
      <c r="C826" s="24" t="n"/>
      <c r="D826" s="17" t="n"/>
      <c r="E826" s="17" t="n"/>
      <c r="F826" s="17" t="n"/>
      <c r="G826" s="15" t="n"/>
      <c r="H826" s="25">
        <f>IF(G826="","",SUMIF(C$2:C826,"Masuk",G$2:G826)-SUMIF(C$2:C826,"Keluar",G$2:G826))</f>
        <v/>
      </c>
    </row>
    <row r="827">
      <c r="A827" s="26" t="n"/>
      <c r="B827" s="27" t="n"/>
      <c r="C827" s="28" t="n"/>
      <c r="D827" s="29" t="n"/>
      <c r="E827" s="29" t="n"/>
      <c r="F827" s="29" t="n"/>
      <c r="G827" s="30" t="n"/>
      <c r="H827" s="31">
        <f>IF(G827="","",SUMIF(C$2:C827,"Masuk",G$2:G827)-SUMIF(C$2:C827,"Keluar",G$2:G827))</f>
        <v/>
      </c>
    </row>
    <row r="828">
      <c r="A828" s="22" t="n"/>
      <c r="B828" s="23" t="n"/>
      <c r="C828" s="24" t="n"/>
      <c r="D828" s="17" t="n"/>
      <c r="E828" s="17" t="n"/>
      <c r="F828" s="17" t="n"/>
      <c r="G828" s="15" t="n"/>
      <c r="H828" s="25">
        <f>IF(G828="","",SUMIF(C$2:C828,"Masuk",G$2:G828)-SUMIF(C$2:C828,"Keluar",G$2:G828))</f>
        <v/>
      </c>
    </row>
    <row r="829">
      <c r="A829" s="26" t="n"/>
      <c r="B829" s="27" t="n"/>
      <c r="C829" s="28" t="n"/>
      <c r="D829" s="29" t="n"/>
      <c r="E829" s="29" t="n"/>
      <c r="F829" s="29" t="n"/>
      <c r="G829" s="30" t="n"/>
      <c r="H829" s="31">
        <f>IF(G829="","",SUMIF(C$2:C829,"Masuk",G$2:G829)-SUMIF(C$2:C829,"Keluar",G$2:G829))</f>
        <v/>
      </c>
    </row>
    <row r="830">
      <c r="A830" s="22" t="n"/>
      <c r="B830" s="23" t="n"/>
      <c r="C830" s="24" t="n"/>
      <c r="D830" s="17" t="n"/>
      <c r="E830" s="17" t="n"/>
      <c r="F830" s="17" t="n"/>
      <c r="G830" s="15" t="n"/>
      <c r="H830" s="25">
        <f>IF(G830="","",SUMIF(C$2:C830,"Masuk",G$2:G830)-SUMIF(C$2:C830,"Keluar",G$2:G830))</f>
        <v/>
      </c>
    </row>
    <row r="831">
      <c r="A831" s="26" t="n"/>
      <c r="B831" s="27" t="n"/>
      <c r="C831" s="28" t="n"/>
      <c r="D831" s="29" t="n"/>
      <c r="E831" s="29" t="n"/>
      <c r="F831" s="29" t="n"/>
      <c r="G831" s="30" t="n"/>
      <c r="H831" s="31">
        <f>IF(G831="","",SUMIF(C$2:C831,"Masuk",G$2:G831)-SUMIF(C$2:C831,"Keluar",G$2:G831))</f>
        <v/>
      </c>
    </row>
    <row r="832">
      <c r="A832" s="22" t="n"/>
      <c r="B832" s="23" t="n"/>
      <c r="C832" s="24" t="n"/>
      <c r="D832" s="17" t="n"/>
      <c r="E832" s="17" t="n"/>
      <c r="F832" s="17" t="n"/>
      <c r="G832" s="15" t="n"/>
      <c r="H832" s="25">
        <f>IF(G832="","",SUMIF(C$2:C832,"Masuk",G$2:G832)-SUMIF(C$2:C832,"Keluar",G$2:G832))</f>
        <v/>
      </c>
    </row>
    <row r="833">
      <c r="A833" s="26" t="n"/>
      <c r="B833" s="27" t="n"/>
      <c r="C833" s="28" t="n"/>
      <c r="D833" s="29" t="n"/>
      <c r="E833" s="29" t="n"/>
      <c r="F833" s="29" t="n"/>
      <c r="G833" s="30" t="n"/>
      <c r="H833" s="31">
        <f>IF(G833="","",SUMIF(C$2:C833,"Masuk",G$2:G833)-SUMIF(C$2:C833,"Keluar",G$2:G833))</f>
        <v/>
      </c>
    </row>
    <row r="834">
      <c r="A834" s="22" t="n"/>
      <c r="B834" s="23" t="n"/>
      <c r="C834" s="24" t="n"/>
      <c r="D834" s="17" t="n"/>
      <c r="E834" s="17" t="n"/>
      <c r="F834" s="17" t="n"/>
      <c r="G834" s="15" t="n"/>
      <c r="H834" s="25">
        <f>IF(G834="","",SUMIF(C$2:C834,"Masuk",G$2:G834)-SUMIF(C$2:C834,"Keluar",G$2:G834))</f>
        <v/>
      </c>
    </row>
    <row r="835">
      <c r="A835" s="26" t="n"/>
      <c r="B835" s="27" t="n"/>
      <c r="C835" s="28" t="n"/>
      <c r="D835" s="29" t="n"/>
      <c r="E835" s="29" t="n"/>
      <c r="F835" s="29" t="n"/>
      <c r="G835" s="30" t="n"/>
      <c r="H835" s="31">
        <f>IF(G835="","",SUMIF(C$2:C835,"Masuk",G$2:G835)-SUMIF(C$2:C835,"Keluar",G$2:G835))</f>
        <v/>
      </c>
    </row>
    <row r="836">
      <c r="A836" s="22" t="n"/>
      <c r="B836" s="23" t="n"/>
      <c r="C836" s="24" t="n"/>
      <c r="D836" s="17" t="n"/>
      <c r="E836" s="17" t="n"/>
      <c r="F836" s="17" t="n"/>
      <c r="G836" s="15" t="n"/>
      <c r="H836" s="25">
        <f>IF(G836="","",SUMIF(C$2:C836,"Masuk",G$2:G836)-SUMIF(C$2:C836,"Keluar",G$2:G836))</f>
        <v/>
      </c>
    </row>
    <row r="837">
      <c r="A837" s="26" t="n"/>
      <c r="B837" s="27" t="n"/>
      <c r="C837" s="28" t="n"/>
      <c r="D837" s="29" t="n"/>
      <c r="E837" s="29" t="n"/>
      <c r="F837" s="29" t="n"/>
      <c r="G837" s="30" t="n"/>
      <c r="H837" s="31">
        <f>IF(G837="","",SUMIF(C$2:C837,"Masuk",G$2:G837)-SUMIF(C$2:C837,"Keluar",G$2:G837))</f>
        <v/>
      </c>
    </row>
    <row r="838">
      <c r="A838" s="22" t="n"/>
      <c r="B838" s="23" t="n"/>
      <c r="C838" s="24" t="n"/>
      <c r="D838" s="17" t="n"/>
      <c r="E838" s="17" t="n"/>
      <c r="F838" s="17" t="n"/>
      <c r="G838" s="15" t="n"/>
      <c r="H838" s="25">
        <f>IF(G838="","",SUMIF(C$2:C838,"Masuk",G$2:G838)-SUMIF(C$2:C838,"Keluar",G$2:G838))</f>
        <v/>
      </c>
    </row>
    <row r="839">
      <c r="A839" s="26" t="n"/>
      <c r="B839" s="27" t="n"/>
      <c r="C839" s="28" t="n"/>
      <c r="D839" s="29" t="n"/>
      <c r="E839" s="29" t="n"/>
      <c r="F839" s="29" t="n"/>
      <c r="G839" s="30" t="n"/>
      <c r="H839" s="31">
        <f>IF(G839="","",SUMIF(C$2:C839,"Masuk",G$2:G839)-SUMIF(C$2:C839,"Keluar",G$2:G839))</f>
        <v/>
      </c>
    </row>
    <row r="840">
      <c r="A840" s="22" t="n"/>
      <c r="B840" s="23" t="n"/>
      <c r="C840" s="24" t="n"/>
      <c r="D840" s="17" t="n"/>
      <c r="E840" s="17" t="n"/>
      <c r="F840" s="17" t="n"/>
      <c r="G840" s="15" t="n"/>
      <c r="H840" s="25">
        <f>IF(G840="","",SUMIF(C$2:C840,"Masuk",G$2:G840)-SUMIF(C$2:C840,"Keluar",G$2:G840))</f>
        <v/>
      </c>
    </row>
    <row r="841">
      <c r="A841" s="26" t="n"/>
      <c r="B841" s="27" t="n"/>
      <c r="C841" s="28" t="n"/>
      <c r="D841" s="29" t="n"/>
      <c r="E841" s="29" t="n"/>
      <c r="F841" s="29" t="n"/>
      <c r="G841" s="30" t="n"/>
      <c r="H841" s="31">
        <f>IF(G841="","",SUMIF(C$2:C841,"Masuk",G$2:G841)-SUMIF(C$2:C841,"Keluar",G$2:G841))</f>
        <v/>
      </c>
    </row>
    <row r="842">
      <c r="A842" s="22" t="n"/>
      <c r="B842" s="23" t="n"/>
      <c r="C842" s="24" t="n"/>
      <c r="D842" s="17" t="n"/>
      <c r="E842" s="17" t="n"/>
      <c r="F842" s="17" t="n"/>
      <c r="G842" s="15" t="n"/>
      <c r="H842" s="25">
        <f>IF(G842="","",SUMIF(C$2:C842,"Masuk",G$2:G842)-SUMIF(C$2:C842,"Keluar",G$2:G842))</f>
        <v/>
      </c>
    </row>
    <row r="843">
      <c r="A843" s="26" t="n"/>
      <c r="B843" s="27" t="n"/>
      <c r="C843" s="28" t="n"/>
      <c r="D843" s="29" t="n"/>
      <c r="E843" s="29" t="n"/>
      <c r="F843" s="29" t="n"/>
      <c r="G843" s="30" t="n"/>
      <c r="H843" s="31">
        <f>IF(G843="","",SUMIF(C$2:C843,"Masuk",G$2:G843)-SUMIF(C$2:C843,"Keluar",G$2:G843))</f>
        <v/>
      </c>
    </row>
    <row r="844">
      <c r="A844" s="22" t="n"/>
      <c r="B844" s="23" t="n"/>
      <c r="C844" s="24" t="n"/>
      <c r="D844" s="17" t="n"/>
      <c r="E844" s="17" t="n"/>
      <c r="F844" s="17" t="n"/>
      <c r="G844" s="15" t="n"/>
      <c r="H844" s="25">
        <f>IF(G844="","",SUMIF(C$2:C844,"Masuk",G$2:G844)-SUMIF(C$2:C844,"Keluar",G$2:G844))</f>
        <v/>
      </c>
    </row>
    <row r="845">
      <c r="A845" s="26" t="n"/>
      <c r="B845" s="27" t="n"/>
      <c r="C845" s="28" t="n"/>
      <c r="D845" s="29" t="n"/>
      <c r="E845" s="29" t="n"/>
      <c r="F845" s="29" t="n"/>
      <c r="G845" s="30" t="n"/>
      <c r="H845" s="31">
        <f>IF(G845="","",SUMIF(C$2:C845,"Masuk",G$2:G845)-SUMIF(C$2:C845,"Keluar",G$2:G845))</f>
        <v/>
      </c>
    </row>
    <row r="846">
      <c r="A846" s="22" t="n"/>
      <c r="B846" s="23" t="n"/>
      <c r="C846" s="24" t="n"/>
      <c r="D846" s="17" t="n"/>
      <c r="E846" s="17" t="n"/>
      <c r="F846" s="17" t="n"/>
      <c r="G846" s="15" t="n"/>
      <c r="H846" s="25">
        <f>IF(G846="","",SUMIF(C$2:C846,"Masuk",G$2:G846)-SUMIF(C$2:C846,"Keluar",G$2:G846))</f>
        <v/>
      </c>
    </row>
    <row r="847">
      <c r="A847" s="26" t="n"/>
      <c r="B847" s="27" t="n"/>
      <c r="C847" s="28" t="n"/>
      <c r="D847" s="29" t="n"/>
      <c r="E847" s="29" t="n"/>
      <c r="F847" s="29" t="n"/>
      <c r="G847" s="30" t="n"/>
      <c r="H847" s="31">
        <f>IF(G847="","",SUMIF(C$2:C847,"Masuk",G$2:G847)-SUMIF(C$2:C847,"Keluar",G$2:G847))</f>
        <v/>
      </c>
    </row>
    <row r="848">
      <c r="A848" s="22" t="n"/>
      <c r="B848" s="23" t="n"/>
      <c r="C848" s="24" t="n"/>
      <c r="D848" s="17" t="n"/>
      <c r="E848" s="17" t="n"/>
      <c r="F848" s="17" t="n"/>
      <c r="G848" s="15" t="n"/>
      <c r="H848" s="25">
        <f>IF(G848="","",SUMIF(C$2:C848,"Masuk",G$2:G848)-SUMIF(C$2:C848,"Keluar",G$2:G848))</f>
        <v/>
      </c>
    </row>
    <row r="849">
      <c r="A849" s="26" t="n"/>
      <c r="B849" s="27" t="n"/>
      <c r="C849" s="28" t="n"/>
      <c r="D849" s="29" t="n"/>
      <c r="E849" s="29" t="n"/>
      <c r="F849" s="29" t="n"/>
      <c r="G849" s="30" t="n"/>
      <c r="H849" s="31">
        <f>IF(G849="","",SUMIF(C$2:C849,"Masuk",G$2:G849)-SUMIF(C$2:C849,"Keluar",G$2:G849))</f>
        <v/>
      </c>
    </row>
    <row r="850">
      <c r="A850" s="22" t="n"/>
      <c r="B850" s="23" t="n"/>
      <c r="C850" s="24" t="n"/>
      <c r="D850" s="17" t="n"/>
      <c r="E850" s="17" t="n"/>
      <c r="F850" s="17" t="n"/>
      <c r="G850" s="15" t="n"/>
      <c r="H850" s="25">
        <f>IF(G850="","",SUMIF(C$2:C850,"Masuk",G$2:G850)-SUMIF(C$2:C850,"Keluar",G$2:G850))</f>
        <v/>
      </c>
    </row>
    <row r="851">
      <c r="A851" s="26" t="n"/>
      <c r="B851" s="27" t="n"/>
      <c r="C851" s="28" t="n"/>
      <c r="D851" s="29" t="n"/>
      <c r="E851" s="29" t="n"/>
      <c r="F851" s="29" t="n"/>
      <c r="G851" s="30" t="n"/>
      <c r="H851" s="31">
        <f>IF(G851="","",SUMIF(C$2:C851,"Masuk",G$2:G851)-SUMIF(C$2:C851,"Keluar",G$2:G851))</f>
        <v/>
      </c>
    </row>
    <row r="852">
      <c r="A852" s="22" t="n"/>
      <c r="B852" s="23" t="n"/>
      <c r="C852" s="24" t="n"/>
      <c r="D852" s="17" t="n"/>
      <c r="E852" s="17" t="n"/>
      <c r="F852" s="17" t="n"/>
      <c r="G852" s="15" t="n"/>
      <c r="H852" s="25">
        <f>IF(G852="","",SUMIF(C$2:C852,"Masuk",G$2:G852)-SUMIF(C$2:C852,"Keluar",G$2:G852))</f>
        <v/>
      </c>
    </row>
    <row r="853">
      <c r="A853" s="26" t="n"/>
      <c r="B853" s="27" t="n"/>
      <c r="C853" s="28" t="n"/>
      <c r="D853" s="29" t="n"/>
      <c r="E853" s="29" t="n"/>
      <c r="F853" s="29" t="n"/>
      <c r="G853" s="30" t="n"/>
      <c r="H853" s="31">
        <f>IF(G853="","",SUMIF(C$2:C853,"Masuk",G$2:G853)-SUMIF(C$2:C853,"Keluar",G$2:G853))</f>
        <v/>
      </c>
    </row>
    <row r="854">
      <c r="A854" s="22" t="n"/>
      <c r="B854" s="23" t="n"/>
      <c r="C854" s="24" t="n"/>
      <c r="D854" s="17" t="n"/>
      <c r="E854" s="17" t="n"/>
      <c r="F854" s="17" t="n"/>
      <c r="G854" s="15" t="n"/>
      <c r="H854" s="25">
        <f>IF(G854="","",SUMIF(C$2:C854,"Masuk",G$2:G854)-SUMIF(C$2:C854,"Keluar",G$2:G854))</f>
        <v/>
      </c>
    </row>
    <row r="855">
      <c r="A855" s="26" t="n"/>
      <c r="B855" s="27" t="n"/>
      <c r="C855" s="28" t="n"/>
      <c r="D855" s="29" t="n"/>
      <c r="E855" s="29" t="n"/>
      <c r="F855" s="29" t="n"/>
      <c r="G855" s="30" t="n"/>
      <c r="H855" s="31">
        <f>IF(G855="","",SUMIF(C$2:C855,"Masuk",G$2:G855)-SUMIF(C$2:C855,"Keluar",G$2:G855))</f>
        <v/>
      </c>
    </row>
    <row r="856">
      <c r="A856" s="22" t="n"/>
      <c r="B856" s="23" t="n"/>
      <c r="C856" s="24" t="n"/>
      <c r="D856" s="17" t="n"/>
      <c r="E856" s="17" t="n"/>
      <c r="F856" s="17" t="n"/>
      <c r="G856" s="15" t="n"/>
      <c r="H856" s="25">
        <f>IF(G856="","",SUMIF(C$2:C856,"Masuk",G$2:G856)-SUMIF(C$2:C856,"Keluar",G$2:G856))</f>
        <v/>
      </c>
    </row>
    <row r="857">
      <c r="A857" s="26" t="n"/>
      <c r="B857" s="27" t="n"/>
      <c r="C857" s="28" t="n"/>
      <c r="D857" s="29" t="n"/>
      <c r="E857" s="29" t="n"/>
      <c r="F857" s="29" t="n"/>
      <c r="G857" s="30" t="n"/>
      <c r="H857" s="31">
        <f>IF(G857="","",SUMIF(C$2:C857,"Masuk",G$2:G857)-SUMIF(C$2:C857,"Keluar",G$2:G857))</f>
        <v/>
      </c>
    </row>
    <row r="858">
      <c r="A858" s="22" t="n"/>
      <c r="B858" s="23" t="n"/>
      <c r="C858" s="24" t="n"/>
      <c r="D858" s="17" t="n"/>
      <c r="E858" s="17" t="n"/>
      <c r="F858" s="17" t="n"/>
      <c r="G858" s="15" t="n"/>
      <c r="H858" s="25">
        <f>IF(G858="","",SUMIF(C$2:C858,"Masuk",G$2:G858)-SUMIF(C$2:C858,"Keluar",G$2:G858))</f>
        <v/>
      </c>
    </row>
    <row r="859">
      <c r="A859" s="26" t="n"/>
      <c r="B859" s="27" t="n"/>
      <c r="C859" s="28" t="n"/>
      <c r="D859" s="29" t="n"/>
      <c r="E859" s="29" t="n"/>
      <c r="F859" s="29" t="n"/>
      <c r="G859" s="30" t="n"/>
      <c r="H859" s="31">
        <f>IF(G859="","",SUMIF(C$2:C859,"Masuk",G$2:G859)-SUMIF(C$2:C859,"Keluar",G$2:G859))</f>
        <v/>
      </c>
    </row>
    <row r="860">
      <c r="A860" s="22" t="n"/>
      <c r="B860" s="23" t="n"/>
      <c r="C860" s="24" t="n"/>
      <c r="D860" s="17" t="n"/>
      <c r="E860" s="17" t="n"/>
      <c r="F860" s="17" t="n"/>
      <c r="G860" s="15" t="n"/>
      <c r="H860" s="25">
        <f>IF(G860="","",SUMIF(C$2:C860,"Masuk",G$2:G860)-SUMIF(C$2:C860,"Keluar",G$2:G860))</f>
        <v/>
      </c>
    </row>
    <row r="861">
      <c r="A861" s="26" t="n"/>
      <c r="B861" s="27" t="n"/>
      <c r="C861" s="28" t="n"/>
      <c r="D861" s="29" t="n"/>
      <c r="E861" s="29" t="n"/>
      <c r="F861" s="29" t="n"/>
      <c r="G861" s="30" t="n"/>
      <c r="H861" s="31">
        <f>IF(G861="","",SUMIF(C$2:C861,"Masuk",G$2:G861)-SUMIF(C$2:C861,"Keluar",G$2:G861))</f>
        <v/>
      </c>
    </row>
    <row r="862">
      <c r="A862" s="22" t="n"/>
      <c r="B862" s="23" t="n"/>
      <c r="C862" s="24" t="n"/>
      <c r="D862" s="17" t="n"/>
      <c r="E862" s="17" t="n"/>
      <c r="F862" s="17" t="n"/>
      <c r="G862" s="15" t="n"/>
      <c r="H862" s="25">
        <f>IF(G862="","",SUMIF(C$2:C862,"Masuk",G$2:G862)-SUMIF(C$2:C862,"Keluar",G$2:G862))</f>
        <v/>
      </c>
    </row>
    <row r="863">
      <c r="A863" s="26" t="n"/>
      <c r="B863" s="27" t="n"/>
      <c r="C863" s="28" t="n"/>
      <c r="D863" s="29" t="n"/>
      <c r="E863" s="29" t="n"/>
      <c r="F863" s="29" t="n"/>
      <c r="G863" s="30" t="n"/>
      <c r="H863" s="31">
        <f>IF(G863="","",SUMIF(C$2:C863,"Masuk",G$2:G863)-SUMIF(C$2:C863,"Keluar",G$2:G863))</f>
        <v/>
      </c>
    </row>
    <row r="864">
      <c r="A864" s="22" t="n"/>
      <c r="B864" s="23" t="n"/>
      <c r="C864" s="24" t="n"/>
      <c r="D864" s="17" t="n"/>
      <c r="E864" s="17" t="n"/>
      <c r="F864" s="17" t="n"/>
      <c r="G864" s="15" t="n"/>
      <c r="H864" s="25">
        <f>IF(G864="","",SUMIF(C$2:C864,"Masuk",G$2:G864)-SUMIF(C$2:C864,"Keluar",G$2:G864))</f>
        <v/>
      </c>
    </row>
    <row r="865">
      <c r="A865" s="26" t="n"/>
      <c r="B865" s="27" t="n"/>
      <c r="C865" s="28" t="n"/>
      <c r="D865" s="29" t="n"/>
      <c r="E865" s="29" t="n"/>
      <c r="F865" s="29" t="n"/>
      <c r="G865" s="30" t="n"/>
      <c r="H865" s="31">
        <f>IF(G865="","",SUMIF(C$2:C865,"Masuk",G$2:G865)-SUMIF(C$2:C865,"Keluar",G$2:G865))</f>
        <v/>
      </c>
    </row>
    <row r="866">
      <c r="A866" s="22" t="n"/>
      <c r="B866" s="23" t="n"/>
      <c r="C866" s="24" t="n"/>
      <c r="D866" s="17" t="n"/>
      <c r="E866" s="17" t="n"/>
      <c r="F866" s="17" t="n"/>
      <c r="G866" s="15" t="n"/>
      <c r="H866" s="25">
        <f>IF(G866="","",SUMIF(C$2:C866,"Masuk",G$2:G866)-SUMIF(C$2:C866,"Keluar",G$2:G866))</f>
        <v/>
      </c>
    </row>
    <row r="867">
      <c r="A867" s="26" t="n"/>
      <c r="B867" s="27" t="n"/>
      <c r="C867" s="28" t="n"/>
      <c r="D867" s="29" t="n"/>
      <c r="E867" s="29" t="n"/>
      <c r="F867" s="29" t="n"/>
      <c r="G867" s="30" t="n"/>
      <c r="H867" s="31">
        <f>IF(G867="","",SUMIF(C$2:C867,"Masuk",G$2:G867)-SUMIF(C$2:C867,"Keluar",G$2:G867))</f>
        <v/>
      </c>
    </row>
    <row r="868">
      <c r="A868" s="22" t="n"/>
      <c r="B868" s="23" t="n"/>
      <c r="C868" s="24" t="n"/>
      <c r="D868" s="17" t="n"/>
      <c r="E868" s="17" t="n"/>
      <c r="F868" s="17" t="n"/>
      <c r="G868" s="15" t="n"/>
      <c r="H868" s="25">
        <f>IF(G868="","",SUMIF(C$2:C868,"Masuk",G$2:G868)-SUMIF(C$2:C868,"Keluar",G$2:G868))</f>
        <v/>
      </c>
    </row>
    <row r="869">
      <c r="A869" s="26" t="n"/>
      <c r="B869" s="27" t="n"/>
      <c r="C869" s="28" t="n"/>
      <c r="D869" s="29" t="n"/>
      <c r="E869" s="29" t="n"/>
      <c r="F869" s="29" t="n"/>
      <c r="G869" s="30" t="n"/>
      <c r="H869" s="31">
        <f>IF(G869="","",SUMIF(C$2:C869,"Masuk",G$2:G869)-SUMIF(C$2:C869,"Keluar",G$2:G869))</f>
        <v/>
      </c>
    </row>
    <row r="870">
      <c r="A870" s="22" t="n"/>
      <c r="B870" s="23" t="n"/>
      <c r="C870" s="24" t="n"/>
      <c r="D870" s="17" t="n"/>
      <c r="E870" s="17" t="n"/>
      <c r="F870" s="17" t="n"/>
      <c r="G870" s="15" t="n"/>
      <c r="H870" s="25">
        <f>IF(G870="","",SUMIF(C$2:C870,"Masuk",G$2:G870)-SUMIF(C$2:C870,"Keluar",G$2:G870))</f>
        <v/>
      </c>
    </row>
    <row r="871">
      <c r="A871" s="26" t="n"/>
      <c r="B871" s="27" t="n"/>
      <c r="C871" s="28" t="n"/>
      <c r="D871" s="29" t="n"/>
      <c r="E871" s="29" t="n"/>
      <c r="F871" s="29" t="n"/>
      <c r="G871" s="30" t="n"/>
      <c r="H871" s="31">
        <f>IF(G871="","",SUMIF(C$2:C871,"Masuk",G$2:G871)-SUMIF(C$2:C871,"Keluar",G$2:G871))</f>
        <v/>
      </c>
    </row>
    <row r="872">
      <c r="A872" s="22" t="n"/>
      <c r="B872" s="23" t="n"/>
      <c r="C872" s="24" t="n"/>
      <c r="D872" s="17" t="n"/>
      <c r="E872" s="17" t="n"/>
      <c r="F872" s="17" t="n"/>
      <c r="G872" s="15" t="n"/>
      <c r="H872" s="25">
        <f>IF(G872="","",SUMIF(C$2:C872,"Masuk",G$2:G872)-SUMIF(C$2:C872,"Keluar",G$2:G872))</f>
        <v/>
      </c>
    </row>
    <row r="873">
      <c r="A873" s="26" t="n"/>
      <c r="B873" s="27" t="n"/>
      <c r="C873" s="28" t="n"/>
      <c r="D873" s="29" t="n"/>
      <c r="E873" s="29" t="n"/>
      <c r="F873" s="29" t="n"/>
      <c r="G873" s="30" t="n"/>
      <c r="H873" s="31">
        <f>IF(G873="","",SUMIF(C$2:C873,"Masuk",G$2:G873)-SUMIF(C$2:C873,"Keluar",G$2:G873))</f>
        <v/>
      </c>
    </row>
    <row r="874">
      <c r="A874" s="22" t="n"/>
      <c r="B874" s="23" t="n"/>
      <c r="C874" s="24" t="n"/>
      <c r="D874" s="17" t="n"/>
      <c r="E874" s="17" t="n"/>
      <c r="F874" s="17" t="n"/>
      <c r="G874" s="15" t="n"/>
      <c r="H874" s="25">
        <f>IF(G874="","",SUMIF(C$2:C874,"Masuk",G$2:G874)-SUMIF(C$2:C874,"Keluar",G$2:G874))</f>
        <v/>
      </c>
    </row>
    <row r="875">
      <c r="A875" s="26" t="n"/>
      <c r="B875" s="27" t="n"/>
      <c r="C875" s="28" t="n"/>
      <c r="D875" s="29" t="n"/>
      <c r="E875" s="29" t="n"/>
      <c r="F875" s="29" t="n"/>
      <c r="G875" s="30" t="n"/>
      <c r="H875" s="31">
        <f>IF(G875="","",SUMIF(C$2:C875,"Masuk",G$2:G875)-SUMIF(C$2:C875,"Keluar",G$2:G875))</f>
        <v/>
      </c>
    </row>
    <row r="876">
      <c r="A876" s="22" t="n"/>
      <c r="B876" s="23" t="n"/>
      <c r="C876" s="24" t="n"/>
      <c r="D876" s="17" t="n"/>
      <c r="E876" s="17" t="n"/>
      <c r="F876" s="17" t="n"/>
      <c r="G876" s="15" t="n"/>
      <c r="H876" s="25">
        <f>IF(G876="","",SUMIF(C$2:C876,"Masuk",G$2:G876)-SUMIF(C$2:C876,"Keluar",G$2:G876))</f>
        <v/>
      </c>
    </row>
    <row r="877">
      <c r="A877" s="26" t="n"/>
      <c r="B877" s="27" t="n"/>
      <c r="C877" s="28" t="n"/>
      <c r="D877" s="29" t="n"/>
      <c r="E877" s="29" t="n"/>
      <c r="F877" s="29" t="n"/>
      <c r="G877" s="30" t="n"/>
      <c r="H877" s="31">
        <f>IF(G877="","",SUMIF(C$2:C877,"Masuk",G$2:G877)-SUMIF(C$2:C877,"Keluar",G$2:G877))</f>
        <v/>
      </c>
    </row>
    <row r="878">
      <c r="A878" s="22" t="n"/>
      <c r="B878" s="23" t="n"/>
      <c r="C878" s="24" t="n"/>
      <c r="D878" s="17" t="n"/>
      <c r="E878" s="17" t="n"/>
      <c r="F878" s="17" t="n"/>
      <c r="G878" s="15" t="n"/>
      <c r="H878" s="25">
        <f>IF(G878="","",SUMIF(C$2:C878,"Masuk",G$2:G878)-SUMIF(C$2:C878,"Keluar",G$2:G878))</f>
        <v/>
      </c>
    </row>
    <row r="879">
      <c r="A879" s="26" t="n"/>
      <c r="B879" s="27" t="n"/>
      <c r="C879" s="28" t="n"/>
      <c r="D879" s="29" t="n"/>
      <c r="E879" s="29" t="n"/>
      <c r="F879" s="29" t="n"/>
      <c r="G879" s="30" t="n"/>
      <c r="H879" s="31">
        <f>IF(G879="","",SUMIF(C$2:C879,"Masuk",G$2:G879)-SUMIF(C$2:C879,"Keluar",G$2:G879))</f>
        <v/>
      </c>
    </row>
    <row r="880">
      <c r="A880" s="22" t="n"/>
      <c r="B880" s="23" t="n"/>
      <c r="C880" s="24" t="n"/>
      <c r="D880" s="17" t="n"/>
      <c r="E880" s="17" t="n"/>
      <c r="F880" s="17" t="n"/>
      <c r="G880" s="15" t="n"/>
      <c r="H880" s="25">
        <f>IF(G880="","",SUMIF(C$2:C880,"Masuk",G$2:G880)-SUMIF(C$2:C880,"Keluar",G$2:G880))</f>
        <v/>
      </c>
    </row>
    <row r="881">
      <c r="A881" s="26" t="n"/>
      <c r="B881" s="27" t="n"/>
      <c r="C881" s="28" t="n"/>
      <c r="D881" s="29" t="n"/>
      <c r="E881" s="29" t="n"/>
      <c r="F881" s="29" t="n"/>
      <c r="G881" s="30" t="n"/>
      <c r="H881" s="31">
        <f>IF(G881="","",SUMIF(C$2:C881,"Masuk",G$2:G881)-SUMIF(C$2:C881,"Keluar",G$2:G881))</f>
        <v/>
      </c>
    </row>
    <row r="882">
      <c r="A882" s="22" t="n"/>
      <c r="B882" s="23" t="n"/>
      <c r="C882" s="24" t="n"/>
      <c r="D882" s="17" t="n"/>
      <c r="E882" s="17" t="n"/>
      <c r="F882" s="17" t="n"/>
      <c r="G882" s="15" t="n"/>
      <c r="H882" s="25">
        <f>IF(G882="","",SUMIF(C$2:C882,"Masuk",G$2:G882)-SUMIF(C$2:C882,"Keluar",G$2:G882))</f>
        <v/>
      </c>
    </row>
    <row r="883">
      <c r="A883" s="26" t="n"/>
      <c r="B883" s="27" t="n"/>
      <c r="C883" s="28" t="n"/>
      <c r="D883" s="29" t="n"/>
      <c r="E883" s="29" t="n"/>
      <c r="F883" s="29" t="n"/>
      <c r="G883" s="30" t="n"/>
      <c r="H883" s="31">
        <f>IF(G883="","",SUMIF(C$2:C883,"Masuk",G$2:G883)-SUMIF(C$2:C883,"Keluar",G$2:G883))</f>
        <v/>
      </c>
    </row>
    <row r="884">
      <c r="A884" s="22" t="n"/>
      <c r="B884" s="23" t="n"/>
      <c r="C884" s="24" t="n"/>
      <c r="D884" s="17" t="n"/>
      <c r="E884" s="17" t="n"/>
      <c r="F884" s="17" t="n"/>
      <c r="G884" s="15" t="n"/>
      <c r="H884" s="25">
        <f>IF(G884="","",SUMIF(C$2:C884,"Masuk",G$2:G884)-SUMIF(C$2:C884,"Keluar",G$2:G884))</f>
        <v/>
      </c>
    </row>
    <row r="885">
      <c r="A885" s="26" t="n"/>
      <c r="B885" s="27" t="n"/>
      <c r="C885" s="28" t="n"/>
      <c r="D885" s="29" t="n"/>
      <c r="E885" s="29" t="n"/>
      <c r="F885" s="29" t="n"/>
      <c r="G885" s="30" t="n"/>
      <c r="H885" s="31">
        <f>IF(G885="","",SUMIF(C$2:C885,"Masuk",G$2:G885)-SUMIF(C$2:C885,"Keluar",G$2:G885))</f>
        <v/>
      </c>
    </row>
    <row r="886">
      <c r="A886" s="22" t="n"/>
      <c r="B886" s="23" t="n"/>
      <c r="C886" s="24" t="n"/>
      <c r="D886" s="17" t="n"/>
      <c r="E886" s="17" t="n"/>
      <c r="F886" s="17" t="n"/>
      <c r="G886" s="15" t="n"/>
      <c r="H886" s="25">
        <f>IF(G886="","",SUMIF(C$2:C886,"Masuk",G$2:G886)-SUMIF(C$2:C886,"Keluar",G$2:G886))</f>
        <v/>
      </c>
    </row>
    <row r="887">
      <c r="A887" s="26" t="n"/>
      <c r="B887" s="27" t="n"/>
      <c r="C887" s="28" t="n"/>
      <c r="D887" s="29" t="n"/>
      <c r="E887" s="29" t="n"/>
      <c r="F887" s="29" t="n"/>
      <c r="G887" s="30" t="n"/>
      <c r="H887" s="31">
        <f>IF(G887="","",SUMIF(C$2:C887,"Masuk",G$2:G887)-SUMIF(C$2:C887,"Keluar",G$2:G887))</f>
        <v/>
      </c>
    </row>
    <row r="888">
      <c r="A888" s="22" t="n"/>
      <c r="B888" s="23" t="n"/>
      <c r="C888" s="24" t="n"/>
      <c r="D888" s="17" t="n"/>
      <c r="E888" s="17" t="n"/>
      <c r="F888" s="17" t="n"/>
      <c r="G888" s="15" t="n"/>
      <c r="H888" s="25">
        <f>IF(G888="","",SUMIF(C$2:C888,"Masuk",G$2:G888)-SUMIF(C$2:C888,"Keluar",G$2:G888))</f>
        <v/>
      </c>
    </row>
    <row r="889">
      <c r="A889" s="26" t="n"/>
      <c r="B889" s="27" t="n"/>
      <c r="C889" s="28" t="n"/>
      <c r="D889" s="29" t="n"/>
      <c r="E889" s="29" t="n"/>
      <c r="F889" s="29" t="n"/>
      <c r="G889" s="30" t="n"/>
      <c r="H889" s="31">
        <f>IF(G889="","",SUMIF(C$2:C889,"Masuk",G$2:G889)-SUMIF(C$2:C889,"Keluar",G$2:G889))</f>
        <v/>
      </c>
    </row>
    <row r="890">
      <c r="A890" s="22" t="n"/>
      <c r="B890" s="23" t="n"/>
      <c r="C890" s="24" t="n"/>
      <c r="D890" s="17" t="n"/>
      <c r="E890" s="17" t="n"/>
      <c r="F890" s="17" t="n"/>
      <c r="G890" s="15" t="n"/>
      <c r="H890" s="25">
        <f>IF(G890="","",SUMIF(C$2:C890,"Masuk",G$2:G890)-SUMIF(C$2:C890,"Keluar",G$2:G890))</f>
        <v/>
      </c>
    </row>
    <row r="891">
      <c r="A891" s="26" t="n"/>
      <c r="B891" s="27" t="n"/>
      <c r="C891" s="28" t="n"/>
      <c r="D891" s="29" t="n"/>
      <c r="E891" s="29" t="n"/>
      <c r="F891" s="29" t="n"/>
      <c r="G891" s="30" t="n"/>
      <c r="H891" s="31">
        <f>IF(G891="","",SUMIF(C$2:C891,"Masuk",G$2:G891)-SUMIF(C$2:C891,"Keluar",G$2:G891))</f>
        <v/>
      </c>
    </row>
    <row r="892">
      <c r="A892" s="22" t="n"/>
      <c r="B892" s="23" t="n"/>
      <c r="C892" s="24" t="n"/>
      <c r="D892" s="17" t="n"/>
      <c r="E892" s="17" t="n"/>
      <c r="F892" s="17" t="n"/>
      <c r="G892" s="15" t="n"/>
      <c r="H892" s="25">
        <f>IF(G892="","",SUMIF(C$2:C892,"Masuk",G$2:G892)-SUMIF(C$2:C892,"Keluar",G$2:G892))</f>
        <v/>
      </c>
    </row>
    <row r="893">
      <c r="A893" s="26" t="n"/>
      <c r="B893" s="27" t="n"/>
      <c r="C893" s="28" t="n"/>
      <c r="D893" s="29" t="n"/>
      <c r="E893" s="29" t="n"/>
      <c r="F893" s="29" t="n"/>
      <c r="G893" s="30" t="n"/>
      <c r="H893" s="31">
        <f>IF(G893="","",SUMIF(C$2:C893,"Masuk",G$2:G893)-SUMIF(C$2:C893,"Keluar",G$2:G893))</f>
        <v/>
      </c>
    </row>
    <row r="894">
      <c r="A894" s="22" t="n"/>
      <c r="B894" s="23" t="n"/>
      <c r="C894" s="24" t="n"/>
      <c r="D894" s="17" t="n"/>
      <c r="E894" s="17" t="n"/>
      <c r="F894" s="17" t="n"/>
      <c r="G894" s="15" t="n"/>
      <c r="H894" s="25">
        <f>IF(G894="","",SUMIF(C$2:C894,"Masuk",G$2:G894)-SUMIF(C$2:C894,"Keluar",G$2:G894))</f>
        <v/>
      </c>
    </row>
    <row r="895">
      <c r="A895" s="26" t="n"/>
      <c r="B895" s="27" t="n"/>
      <c r="C895" s="28" t="n"/>
      <c r="D895" s="29" t="n"/>
      <c r="E895" s="29" t="n"/>
      <c r="F895" s="29" t="n"/>
      <c r="G895" s="30" t="n"/>
      <c r="H895" s="31">
        <f>IF(G895="","",SUMIF(C$2:C895,"Masuk",G$2:G895)-SUMIF(C$2:C895,"Keluar",G$2:G895))</f>
        <v/>
      </c>
    </row>
    <row r="896">
      <c r="A896" s="22" t="n"/>
      <c r="B896" s="23" t="n"/>
      <c r="C896" s="24" t="n"/>
      <c r="D896" s="17" t="n"/>
      <c r="E896" s="17" t="n"/>
      <c r="F896" s="17" t="n"/>
      <c r="G896" s="15" t="n"/>
      <c r="H896" s="25">
        <f>IF(G896="","",SUMIF(C$2:C896,"Masuk",G$2:G896)-SUMIF(C$2:C896,"Keluar",G$2:G896))</f>
        <v/>
      </c>
    </row>
    <row r="897">
      <c r="A897" s="26" t="n"/>
      <c r="B897" s="27" t="n"/>
      <c r="C897" s="28" t="n"/>
      <c r="D897" s="29" t="n"/>
      <c r="E897" s="29" t="n"/>
      <c r="F897" s="29" t="n"/>
      <c r="G897" s="30" t="n"/>
      <c r="H897" s="31">
        <f>IF(G897="","",SUMIF(C$2:C897,"Masuk",G$2:G897)-SUMIF(C$2:C897,"Keluar",G$2:G897))</f>
        <v/>
      </c>
    </row>
    <row r="898">
      <c r="A898" s="22" t="n"/>
      <c r="B898" s="23" t="n"/>
      <c r="C898" s="24" t="n"/>
      <c r="D898" s="17" t="n"/>
      <c r="E898" s="17" t="n"/>
      <c r="F898" s="17" t="n"/>
      <c r="G898" s="15" t="n"/>
      <c r="H898" s="25">
        <f>IF(G898="","",SUMIF(C$2:C898,"Masuk",G$2:G898)-SUMIF(C$2:C898,"Keluar",G$2:G898))</f>
        <v/>
      </c>
    </row>
    <row r="899">
      <c r="A899" s="26" t="n"/>
      <c r="B899" s="27" t="n"/>
      <c r="C899" s="28" t="n"/>
      <c r="D899" s="29" t="n"/>
      <c r="E899" s="29" t="n"/>
      <c r="F899" s="29" t="n"/>
      <c r="G899" s="30" t="n"/>
      <c r="H899" s="31">
        <f>IF(G899="","",SUMIF(C$2:C899,"Masuk",G$2:G899)-SUMIF(C$2:C899,"Keluar",G$2:G899))</f>
        <v/>
      </c>
    </row>
    <row r="900">
      <c r="A900" s="22" t="n"/>
      <c r="B900" s="23" t="n"/>
      <c r="C900" s="24" t="n"/>
      <c r="D900" s="17" t="n"/>
      <c r="E900" s="17" t="n"/>
      <c r="F900" s="17" t="n"/>
      <c r="G900" s="15" t="n"/>
      <c r="H900" s="25">
        <f>IF(G900="","",SUMIF(C$2:C900,"Masuk",G$2:G900)-SUMIF(C$2:C900,"Keluar",G$2:G900))</f>
        <v/>
      </c>
    </row>
    <row r="901">
      <c r="A901" s="26" t="n"/>
      <c r="B901" s="27" t="n"/>
      <c r="C901" s="28" t="n"/>
      <c r="D901" s="29" t="n"/>
      <c r="E901" s="29" t="n"/>
      <c r="F901" s="29" t="n"/>
      <c r="G901" s="30" t="n"/>
      <c r="H901" s="31">
        <f>IF(G901="","",SUMIF(C$2:C901,"Masuk",G$2:G901)-SUMIF(C$2:C901,"Keluar",G$2:G901))</f>
        <v/>
      </c>
    </row>
    <row r="902">
      <c r="A902" s="22" t="n"/>
      <c r="B902" s="23" t="n"/>
      <c r="C902" s="24" t="n"/>
      <c r="D902" s="17" t="n"/>
      <c r="E902" s="17" t="n"/>
      <c r="F902" s="17" t="n"/>
      <c r="G902" s="15" t="n"/>
      <c r="H902" s="25">
        <f>IF(G902="","",SUMIF(C$2:C902,"Masuk",G$2:G902)-SUMIF(C$2:C902,"Keluar",G$2:G902))</f>
        <v/>
      </c>
    </row>
    <row r="903">
      <c r="A903" s="26" t="n"/>
      <c r="B903" s="27" t="n"/>
      <c r="C903" s="28" t="n"/>
      <c r="D903" s="29" t="n"/>
      <c r="E903" s="29" t="n"/>
      <c r="F903" s="29" t="n"/>
      <c r="G903" s="30" t="n"/>
      <c r="H903" s="31">
        <f>IF(G903="","",SUMIF(C$2:C903,"Masuk",G$2:G903)-SUMIF(C$2:C903,"Keluar",G$2:G903))</f>
        <v/>
      </c>
    </row>
    <row r="904">
      <c r="A904" s="22" t="n"/>
      <c r="B904" s="23" t="n"/>
      <c r="C904" s="24" t="n"/>
      <c r="D904" s="17" t="n"/>
      <c r="E904" s="17" t="n"/>
      <c r="F904" s="17" t="n"/>
      <c r="G904" s="15" t="n"/>
      <c r="H904" s="25">
        <f>IF(G904="","",SUMIF(C$2:C904,"Masuk",G$2:G904)-SUMIF(C$2:C904,"Keluar",G$2:G904))</f>
        <v/>
      </c>
    </row>
    <row r="905">
      <c r="A905" s="26" t="n"/>
      <c r="B905" s="27" t="n"/>
      <c r="C905" s="28" t="n"/>
      <c r="D905" s="29" t="n"/>
      <c r="E905" s="29" t="n"/>
      <c r="F905" s="29" t="n"/>
      <c r="G905" s="30" t="n"/>
      <c r="H905" s="31">
        <f>IF(G905="","",SUMIF(C$2:C905,"Masuk",G$2:G905)-SUMIF(C$2:C905,"Keluar",G$2:G905))</f>
        <v/>
      </c>
    </row>
    <row r="906">
      <c r="A906" s="22" t="n"/>
      <c r="B906" s="23" t="n"/>
      <c r="C906" s="24" t="n"/>
      <c r="D906" s="17" t="n"/>
      <c r="E906" s="17" t="n"/>
      <c r="F906" s="17" t="n"/>
      <c r="G906" s="15" t="n"/>
      <c r="H906" s="25">
        <f>IF(G906="","",SUMIF(C$2:C906,"Masuk",G$2:G906)-SUMIF(C$2:C906,"Keluar",G$2:G906))</f>
        <v/>
      </c>
    </row>
    <row r="907">
      <c r="A907" s="26" t="n"/>
      <c r="B907" s="27" t="n"/>
      <c r="C907" s="28" t="n"/>
      <c r="D907" s="29" t="n"/>
      <c r="E907" s="29" t="n"/>
      <c r="F907" s="29" t="n"/>
      <c r="G907" s="30" t="n"/>
      <c r="H907" s="31">
        <f>IF(G907="","",SUMIF(C$2:C907,"Masuk",G$2:G907)-SUMIF(C$2:C907,"Keluar",G$2:G907))</f>
        <v/>
      </c>
    </row>
    <row r="908">
      <c r="A908" s="22" t="n"/>
      <c r="B908" s="23" t="n"/>
      <c r="C908" s="24" t="n"/>
      <c r="D908" s="17" t="n"/>
      <c r="E908" s="17" t="n"/>
      <c r="F908" s="17" t="n"/>
      <c r="G908" s="15" t="n"/>
      <c r="H908" s="25">
        <f>IF(G908="","",SUMIF(C$2:C908,"Masuk",G$2:G908)-SUMIF(C$2:C908,"Keluar",G$2:G908))</f>
        <v/>
      </c>
    </row>
    <row r="909">
      <c r="A909" s="26" t="n"/>
      <c r="B909" s="27" t="n"/>
      <c r="C909" s="28" t="n"/>
      <c r="D909" s="29" t="n"/>
      <c r="E909" s="29" t="n"/>
      <c r="F909" s="29" t="n"/>
      <c r="G909" s="30" t="n"/>
      <c r="H909" s="31">
        <f>IF(G909="","",SUMIF(C$2:C909,"Masuk",G$2:G909)-SUMIF(C$2:C909,"Keluar",G$2:G909))</f>
        <v/>
      </c>
    </row>
    <row r="910">
      <c r="A910" s="22" t="n"/>
      <c r="B910" s="23" t="n"/>
      <c r="C910" s="24" t="n"/>
      <c r="D910" s="17" t="n"/>
      <c r="E910" s="17" t="n"/>
      <c r="F910" s="17" t="n"/>
      <c r="G910" s="15" t="n"/>
      <c r="H910" s="25">
        <f>IF(G910="","",SUMIF(C$2:C910,"Masuk",G$2:G910)-SUMIF(C$2:C910,"Keluar",G$2:G910))</f>
        <v/>
      </c>
    </row>
    <row r="911">
      <c r="A911" s="26" t="n"/>
      <c r="B911" s="27" t="n"/>
      <c r="C911" s="28" t="n"/>
      <c r="D911" s="29" t="n"/>
      <c r="E911" s="29" t="n"/>
      <c r="F911" s="29" t="n"/>
      <c r="G911" s="30" t="n"/>
      <c r="H911" s="31">
        <f>IF(G911="","",SUMIF(C$2:C911,"Masuk",G$2:G911)-SUMIF(C$2:C911,"Keluar",G$2:G911))</f>
        <v/>
      </c>
    </row>
    <row r="912">
      <c r="A912" s="22" t="n"/>
      <c r="B912" s="23" t="n"/>
      <c r="C912" s="24" t="n"/>
      <c r="D912" s="17" t="n"/>
      <c r="E912" s="17" t="n"/>
      <c r="F912" s="17" t="n"/>
      <c r="G912" s="15" t="n"/>
      <c r="H912" s="25">
        <f>IF(G912="","",SUMIF(C$2:C912,"Masuk",G$2:G912)-SUMIF(C$2:C912,"Keluar",G$2:G912))</f>
        <v/>
      </c>
    </row>
    <row r="913">
      <c r="A913" s="26" t="n"/>
      <c r="B913" s="27" t="n"/>
      <c r="C913" s="28" t="n"/>
      <c r="D913" s="29" t="n"/>
      <c r="E913" s="29" t="n"/>
      <c r="F913" s="29" t="n"/>
      <c r="G913" s="30" t="n"/>
      <c r="H913" s="31">
        <f>IF(G913="","",SUMIF(C$2:C913,"Masuk",G$2:G913)-SUMIF(C$2:C913,"Keluar",G$2:G913))</f>
        <v/>
      </c>
    </row>
    <row r="914">
      <c r="A914" s="22" t="n"/>
      <c r="B914" s="23" t="n"/>
      <c r="C914" s="24" t="n"/>
      <c r="D914" s="17" t="n"/>
      <c r="E914" s="17" t="n"/>
      <c r="F914" s="17" t="n"/>
      <c r="G914" s="15" t="n"/>
      <c r="H914" s="25">
        <f>IF(G914="","",SUMIF(C$2:C914,"Masuk",G$2:G914)-SUMIF(C$2:C914,"Keluar",G$2:G914))</f>
        <v/>
      </c>
    </row>
    <row r="915">
      <c r="A915" s="26" t="n"/>
      <c r="B915" s="27" t="n"/>
      <c r="C915" s="28" t="n"/>
      <c r="D915" s="29" t="n"/>
      <c r="E915" s="29" t="n"/>
      <c r="F915" s="29" t="n"/>
      <c r="G915" s="30" t="n"/>
      <c r="H915" s="31">
        <f>IF(G915="","",SUMIF(C$2:C915,"Masuk",G$2:G915)-SUMIF(C$2:C915,"Keluar",G$2:G915))</f>
        <v/>
      </c>
    </row>
    <row r="916">
      <c r="A916" s="22" t="n"/>
      <c r="B916" s="23" t="n"/>
      <c r="C916" s="24" t="n"/>
      <c r="D916" s="17" t="n"/>
      <c r="E916" s="17" t="n"/>
      <c r="F916" s="17" t="n"/>
      <c r="G916" s="15" t="n"/>
      <c r="H916" s="25">
        <f>IF(G916="","",SUMIF(C$2:C916,"Masuk",G$2:G916)-SUMIF(C$2:C916,"Keluar",G$2:G916))</f>
        <v/>
      </c>
    </row>
    <row r="917">
      <c r="A917" s="26" t="n"/>
      <c r="B917" s="27" t="n"/>
      <c r="C917" s="28" t="n"/>
      <c r="D917" s="29" t="n"/>
      <c r="E917" s="29" t="n"/>
      <c r="F917" s="29" t="n"/>
      <c r="G917" s="30" t="n"/>
      <c r="H917" s="31">
        <f>IF(G917="","",SUMIF(C$2:C917,"Masuk",G$2:G917)-SUMIF(C$2:C917,"Keluar",G$2:G917))</f>
        <v/>
      </c>
    </row>
    <row r="918">
      <c r="A918" s="22" t="n"/>
      <c r="B918" s="23" t="n"/>
      <c r="C918" s="24" t="n"/>
      <c r="D918" s="17" t="n"/>
      <c r="E918" s="17" t="n"/>
      <c r="F918" s="17" t="n"/>
      <c r="G918" s="15" t="n"/>
      <c r="H918" s="25">
        <f>IF(G918="","",SUMIF(C$2:C918,"Masuk",G$2:G918)-SUMIF(C$2:C918,"Keluar",G$2:G918))</f>
        <v/>
      </c>
    </row>
    <row r="919">
      <c r="A919" s="26" t="n"/>
      <c r="B919" s="27" t="n"/>
      <c r="C919" s="28" t="n"/>
      <c r="D919" s="29" t="n"/>
      <c r="E919" s="29" t="n"/>
      <c r="F919" s="29" t="n"/>
      <c r="G919" s="30" t="n"/>
      <c r="H919" s="31">
        <f>IF(G919="","",SUMIF(C$2:C919,"Masuk",G$2:G919)-SUMIF(C$2:C919,"Keluar",G$2:G919))</f>
        <v/>
      </c>
    </row>
    <row r="920">
      <c r="A920" s="22" t="n"/>
      <c r="B920" s="23" t="n"/>
      <c r="C920" s="24" t="n"/>
      <c r="D920" s="17" t="n"/>
      <c r="E920" s="17" t="n"/>
      <c r="F920" s="17" t="n"/>
      <c r="G920" s="15" t="n"/>
      <c r="H920" s="25">
        <f>IF(G920="","",SUMIF(C$2:C920,"Masuk",G$2:G920)-SUMIF(C$2:C920,"Keluar",G$2:G920))</f>
        <v/>
      </c>
    </row>
    <row r="921">
      <c r="A921" s="26" t="n"/>
      <c r="B921" s="27" t="n"/>
      <c r="C921" s="28" t="n"/>
      <c r="D921" s="29" t="n"/>
      <c r="E921" s="29" t="n"/>
      <c r="F921" s="29" t="n"/>
      <c r="G921" s="30" t="n"/>
      <c r="H921" s="31">
        <f>IF(G921="","",SUMIF(C$2:C921,"Masuk",G$2:G921)-SUMIF(C$2:C921,"Keluar",G$2:G921))</f>
        <v/>
      </c>
    </row>
    <row r="922">
      <c r="A922" s="22" t="n"/>
      <c r="B922" s="23" t="n"/>
      <c r="C922" s="24" t="n"/>
      <c r="D922" s="17" t="n"/>
      <c r="E922" s="17" t="n"/>
      <c r="F922" s="17" t="n"/>
      <c r="G922" s="15" t="n"/>
      <c r="H922" s="25">
        <f>IF(G922="","",SUMIF(C$2:C922,"Masuk",G$2:G922)-SUMIF(C$2:C922,"Keluar",G$2:G922))</f>
        <v/>
      </c>
    </row>
    <row r="923">
      <c r="A923" s="26" t="n"/>
      <c r="B923" s="27" t="n"/>
      <c r="C923" s="28" t="n"/>
      <c r="D923" s="29" t="n"/>
      <c r="E923" s="29" t="n"/>
      <c r="F923" s="29" t="n"/>
      <c r="G923" s="30" t="n"/>
      <c r="H923" s="31">
        <f>IF(G923="","",SUMIF(C$2:C923,"Masuk",G$2:G923)-SUMIF(C$2:C923,"Keluar",G$2:G923))</f>
        <v/>
      </c>
    </row>
    <row r="924">
      <c r="A924" s="22" t="n"/>
      <c r="B924" s="23" t="n"/>
      <c r="C924" s="24" t="n"/>
      <c r="D924" s="17" t="n"/>
      <c r="E924" s="17" t="n"/>
      <c r="F924" s="17" t="n"/>
      <c r="G924" s="15" t="n"/>
      <c r="H924" s="25">
        <f>IF(G924="","",SUMIF(C$2:C924,"Masuk",G$2:G924)-SUMIF(C$2:C924,"Keluar",G$2:G924))</f>
        <v/>
      </c>
    </row>
    <row r="925">
      <c r="A925" s="26" t="n"/>
      <c r="B925" s="27" t="n"/>
      <c r="C925" s="28" t="n"/>
      <c r="D925" s="29" t="n"/>
      <c r="E925" s="29" t="n"/>
      <c r="F925" s="29" t="n"/>
      <c r="G925" s="30" t="n"/>
      <c r="H925" s="31">
        <f>IF(G925="","",SUMIF(C$2:C925,"Masuk",G$2:G925)-SUMIF(C$2:C925,"Keluar",G$2:G925))</f>
        <v/>
      </c>
    </row>
    <row r="926">
      <c r="A926" s="22" t="n"/>
      <c r="B926" s="23" t="n"/>
      <c r="C926" s="24" t="n"/>
      <c r="D926" s="17" t="n"/>
      <c r="E926" s="17" t="n"/>
      <c r="F926" s="17" t="n"/>
      <c r="G926" s="15" t="n"/>
      <c r="H926" s="25">
        <f>IF(G926="","",SUMIF(C$2:C926,"Masuk",G$2:G926)-SUMIF(C$2:C926,"Keluar",G$2:G926))</f>
        <v/>
      </c>
    </row>
    <row r="927">
      <c r="A927" s="26" t="n"/>
      <c r="B927" s="27" t="n"/>
      <c r="C927" s="28" t="n"/>
      <c r="D927" s="29" t="n"/>
      <c r="E927" s="29" t="n"/>
      <c r="F927" s="29" t="n"/>
      <c r="G927" s="30" t="n"/>
      <c r="H927" s="31">
        <f>IF(G927="","",SUMIF(C$2:C927,"Masuk",G$2:G927)-SUMIF(C$2:C927,"Keluar",G$2:G927))</f>
        <v/>
      </c>
    </row>
    <row r="928">
      <c r="A928" s="22" t="n"/>
      <c r="B928" s="23" t="n"/>
      <c r="C928" s="24" t="n"/>
      <c r="D928" s="17" t="n"/>
      <c r="E928" s="17" t="n"/>
      <c r="F928" s="17" t="n"/>
      <c r="G928" s="15" t="n"/>
      <c r="H928" s="25">
        <f>IF(G928="","",SUMIF(C$2:C928,"Masuk",G$2:G928)-SUMIF(C$2:C928,"Keluar",G$2:G928))</f>
        <v/>
      </c>
    </row>
    <row r="929">
      <c r="A929" s="26" t="n"/>
      <c r="B929" s="27" t="n"/>
      <c r="C929" s="28" t="n"/>
      <c r="D929" s="29" t="n"/>
      <c r="E929" s="29" t="n"/>
      <c r="F929" s="29" t="n"/>
      <c r="G929" s="30" t="n"/>
      <c r="H929" s="31">
        <f>IF(G929="","",SUMIF(C$2:C929,"Masuk",G$2:G929)-SUMIF(C$2:C929,"Keluar",G$2:G929))</f>
        <v/>
      </c>
    </row>
    <row r="930">
      <c r="A930" s="22" t="n"/>
      <c r="B930" s="23" t="n"/>
      <c r="C930" s="24" t="n"/>
      <c r="D930" s="17" t="n"/>
      <c r="E930" s="17" t="n"/>
      <c r="F930" s="17" t="n"/>
      <c r="G930" s="15" t="n"/>
      <c r="H930" s="25">
        <f>IF(G930="","",SUMIF(C$2:C930,"Masuk",G$2:G930)-SUMIF(C$2:C930,"Keluar",G$2:G930))</f>
        <v/>
      </c>
    </row>
    <row r="931">
      <c r="A931" s="26" t="n"/>
      <c r="B931" s="27" t="n"/>
      <c r="C931" s="28" t="n"/>
      <c r="D931" s="29" t="n"/>
      <c r="E931" s="29" t="n"/>
      <c r="F931" s="29" t="n"/>
      <c r="G931" s="30" t="n"/>
      <c r="H931" s="31">
        <f>IF(G931="","",SUMIF(C$2:C931,"Masuk",G$2:G931)-SUMIF(C$2:C931,"Keluar",G$2:G931))</f>
        <v/>
      </c>
    </row>
    <row r="932">
      <c r="A932" s="22" t="n"/>
      <c r="B932" s="23" t="n"/>
      <c r="C932" s="24" t="n"/>
      <c r="D932" s="17" t="n"/>
      <c r="E932" s="17" t="n"/>
      <c r="F932" s="17" t="n"/>
      <c r="G932" s="15" t="n"/>
      <c r="H932" s="25">
        <f>IF(G932="","",SUMIF(C$2:C932,"Masuk",G$2:G932)-SUMIF(C$2:C932,"Keluar",G$2:G932))</f>
        <v/>
      </c>
    </row>
    <row r="933">
      <c r="A933" s="26" t="n"/>
      <c r="B933" s="27" t="n"/>
      <c r="C933" s="28" t="n"/>
      <c r="D933" s="29" t="n"/>
      <c r="E933" s="29" t="n"/>
      <c r="F933" s="29" t="n"/>
      <c r="G933" s="30" t="n"/>
      <c r="H933" s="31">
        <f>IF(G933="","",SUMIF(C$2:C933,"Masuk",G$2:G933)-SUMIF(C$2:C933,"Keluar",G$2:G933))</f>
        <v/>
      </c>
    </row>
    <row r="934">
      <c r="A934" s="22" t="n"/>
      <c r="B934" s="23" t="n"/>
      <c r="C934" s="24" t="n"/>
      <c r="D934" s="17" t="n"/>
      <c r="E934" s="17" t="n"/>
      <c r="F934" s="17" t="n"/>
      <c r="G934" s="15" t="n"/>
      <c r="H934" s="25">
        <f>IF(G934="","",SUMIF(C$2:C934,"Masuk",G$2:G934)-SUMIF(C$2:C934,"Keluar",G$2:G934))</f>
        <v/>
      </c>
    </row>
    <row r="935">
      <c r="A935" s="26" t="n"/>
      <c r="B935" s="27" t="n"/>
      <c r="C935" s="28" t="n"/>
      <c r="D935" s="29" t="n"/>
      <c r="E935" s="29" t="n"/>
      <c r="F935" s="29" t="n"/>
      <c r="G935" s="30" t="n"/>
      <c r="H935" s="31">
        <f>IF(G935="","",SUMIF(C$2:C935,"Masuk",G$2:G935)-SUMIF(C$2:C935,"Keluar",G$2:G935))</f>
        <v/>
      </c>
    </row>
    <row r="936">
      <c r="A936" s="22" t="n"/>
      <c r="B936" s="23" t="n"/>
      <c r="C936" s="24" t="n"/>
      <c r="D936" s="17" t="n"/>
      <c r="E936" s="17" t="n"/>
      <c r="F936" s="17" t="n"/>
      <c r="G936" s="15" t="n"/>
      <c r="H936" s="25">
        <f>IF(G936="","",SUMIF(C$2:C936,"Masuk",G$2:G936)-SUMIF(C$2:C936,"Keluar",G$2:G936))</f>
        <v/>
      </c>
    </row>
    <row r="937">
      <c r="A937" s="26" t="n"/>
      <c r="B937" s="27" t="n"/>
      <c r="C937" s="28" t="n"/>
      <c r="D937" s="29" t="n"/>
      <c r="E937" s="29" t="n"/>
      <c r="F937" s="29" t="n"/>
      <c r="G937" s="30" t="n"/>
      <c r="H937" s="31">
        <f>IF(G937="","",SUMIF(C$2:C937,"Masuk",G$2:G937)-SUMIF(C$2:C937,"Keluar",G$2:G937))</f>
        <v/>
      </c>
    </row>
    <row r="938">
      <c r="A938" s="22" t="n"/>
      <c r="B938" s="23" t="n"/>
      <c r="C938" s="24" t="n"/>
      <c r="D938" s="17" t="n"/>
      <c r="E938" s="17" t="n"/>
      <c r="F938" s="17" t="n"/>
      <c r="G938" s="15" t="n"/>
      <c r="H938" s="25">
        <f>IF(G938="","",SUMIF(C$2:C938,"Masuk",G$2:G938)-SUMIF(C$2:C938,"Keluar",G$2:G938))</f>
        <v/>
      </c>
    </row>
    <row r="939">
      <c r="A939" s="26" t="n"/>
      <c r="B939" s="27" t="n"/>
      <c r="C939" s="28" t="n"/>
      <c r="D939" s="29" t="n"/>
      <c r="E939" s="29" t="n"/>
      <c r="F939" s="29" t="n"/>
      <c r="G939" s="30" t="n"/>
      <c r="H939" s="31">
        <f>IF(G939="","",SUMIF(C$2:C939,"Masuk",G$2:G939)-SUMIF(C$2:C939,"Keluar",G$2:G939))</f>
        <v/>
      </c>
    </row>
    <row r="940">
      <c r="A940" s="22" t="n"/>
      <c r="B940" s="23" t="n"/>
      <c r="C940" s="24" t="n"/>
      <c r="D940" s="17" t="n"/>
      <c r="E940" s="17" t="n"/>
      <c r="F940" s="17" t="n"/>
      <c r="G940" s="15" t="n"/>
      <c r="H940" s="25">
        <f>IF(G940="","",SUMIF(C$2:C940,"Masuk",G$2:G940)-SUMIF(C$2:C940,"Keluar",G$2:G940))</f>
        <v/>
      </c>
    </row>
    <row r="941">
      <c r="A941" s="26" t="n"/>
      <c r="B941" s="27" t="n"/>
      <c r="C941" s="28" t="n"/>
      <c r="D941" s="29" t="n"/>
      <c r="E941" s="29" t="n"/>
      <c r="F941" s="29" t="n"/>
      <c r="G941" s="30" t="n"/>
      <c r="H941" s="31">
        <f>IF(G941="","",SUMIF(C$2:C941,"Masuk",G$2:G941)-SUMIF(C$2:C941,"Keluar",G$2:G941))</f>
        <v/>
      </c>
    </row>
    <row r="942">
      <c r="A942" s="22" t="n"/>
      <c r="B942" s="23" t="n"/>
      <c r="C942" s="24" t="n"/>
      <c r="D942" s="17" t="n"/>
      <c r="E942" s="17" t="n"/>
      <c r="F942" s="17" t="n"/>
      <c r="G942" s="15" t="n"/>
      <c r="H942" s="25">
        <f>IF(G942="","",SUMIF(C$2:C942,"Masuk",G$2:G942)-SUMIF(C$2:C942,"Keluar",G$2:G942))</f>
        <v/>
      </c>
    </row>
    <row r="943">
      <c r="A943" s="26" t="n"/>
      <c r="B943" s="27" t="n"/>
      <c r="C943" s="28" t="n"/>
      <c r="D943" s="29" t="n"/>
      <c r="E943" s="29" t="n"/>
      <c r="F943" s="29" t="n"/>
      <c r="G943" s="30" t="n"/>
      <c r="H943" s="31">
        <f>IF(G943="","",SUMIF(C$2:C943,"Masuk",G$2:G943)-SUMIF(C$2:C943,"Keluar",G$2:G943))</f>
        <v/>
      </c>
    </row>
    <row r="944">
      <c r="A944" s="22" t="n"/>
      <c r="B944" s="23" t="n"/>
      <c r="C944" s="24" t="n"/>
      <c r="D944" s="17" t="n"/>
      <c r="E944" s="17" t="n"/>
      <c r="F944" s="17" t="n"/>
      <c r="G944" s="15" t="n"/>
      <c r="H944" s="25">
        <f>IF(G944="","",SUMIF(C$2:C944,"Masuk",G$2:G944)-SUMIF(C$2:C944,"Keluar",G$2:G944))</f>
        <v/>
      </c>
    </row>
    <row r="945">
      <c r="A945" s="26" t="n"/>
      <c r="B945" s="27" t="n"/>
      <c r="C945" s="28" t="n"/>
      <c r="D945" s="29" t="n"/>
      <c r="E945" s="29" t="n"/>
      <c r="F945" s="29" t="n"/>
      <c r="G945" s="30" t="n"/>
      <c r="H945" s="31">
        <f>IF(G945="","",SUMIF(C$2:C945,"Masuk",G$2:G945)-SUMIF(C$2:C945,"Keluar",G$2:G945))</f>
        <v/>
      </c>
    </row>
    <row r="946">
      <c r="A946" s="22" t="n"/>
      <c r="B946" s="23" t="n"/>
      <c r="C946" s="24" t="n"/>
      <c r="D946" s="17" t="n"/>
      <c r="E946" s="17" t="n"/>
      <c r="F946" s="17" t="n"/>
      <c r="G946" s="15" t="n"/>
      <c r="H946" s="25">
        <f>IF(G946="","",SUMIF(C$2:C946,"Masuk",G$2:G946)-SUMIF(C$2:C946,"Keluar",G$2:G946))</f>
        <v/>
      </c>
    </row>
    <row r="947">
      <c r="A947" s="26" t="n"/>
      <c r="B947" s="27" t="n"/>
      <c r="C947" s="28" t="n"/>
      <c r="D947" s="29" t="n"/>
      <c r="E947" s="29" t="n"/>
      <c r="F947" s="29" t="n"/>
      <c r="G947" s="30" t="n"/>
      <c r="H947" s="31">
        <f>IF(G947="","",SUMIF(C$2:C947,"Masuk",G$2:G947)-SUMIF(C$2:C947,"Keluar",G$2:G947))</f>
        <v/>
      </c>
    </row>
    <row r="948">
      <c r="A948" s="22" t="n"/>
      <c r="B948" s="23" t="n"/>
      <c r="C948" s="24" t="n"/>
      <c r="D948" s="17" t="n"/>
      <c r="E948" s="17" t="n"/>
      <c r="F948" s="17" t="n"/>
      <c r="G948" s="15" t="n"/>
      <c r="H948" s="25">
        <f>IF(G948="","",SUMIF(C$2:C948,"Masuk",G$2:G948)-SUMIF(C$2:C948,"Keluar",G$2:G948))</f>
        <v/>
      </c>
    </row>
    <row r="949">
      <c r="A949" s="26" t="n"/>
      <c r="B949" s="27" t="n"/>
      <c r="C949" s="28" t="n"/>
      <c r="D949" s="29" t="n"/>
      <c r="E949" s="29" t="n"/>
      <c r="F949" s="29" t="n"/>
      <c r="G949" s="30" t="n"/>
      <c r="H949" s="31">
        <f>IF(G949="","",SUMIF(C$2:C949,"Masuk",G$2:G949)-SUMIF(C$2:C949,"Keluar",G$2:G949))</f>
        <v/>
      </c>
    </row>
    <row r="950">
      <c r="A950" s="22" t="n"/>
      <c r="B950" s="23" t="n"/>
      <c r="C950" s="24" t="n"/>
      <c r="D950" s="17" t="n"/>
      <c r="E950" s="17" t="n"/>
      <c r="F950" s="17" t="n"/>
      <c r="G950" s="15" t="n"/>
      <c r="H950" s="25">
        <f>IF(G950="","",SUMIF(C$2:C950,"Masuk",G$2:G950)-SUMIF(C$2:C950,"Keluar",G$2:G950))</f>
        <v/>
      </c>
    </row>
    <row r="951">
      <c r="A951" s="26" t="n"/>
      <c r="B951" s="27" t="n"/>
      <c r="C951" s="28" t="n"/>
      <c r="D951" s="29" t="n"/>
      <c r="E951" s="29" t="n"/>
      <c r="F951" s="29" t="n"/>
      <c r="G951" s="30" t="n"/>
      <c r="H951" s="31">
        <f>IF(G951="","",SUMIF(C$2:C951,"Masuk",G$2:G951)-SUMIF(C$2:C951,"Keluar",G$2:G951))</f>
        <v/>
      </c>
    </row>
    <row r="952">
      <c r="A952" s="22" t="n"/>
      <c r="B952" s="23" t="n"/>
      <c r="C952" s="24" t="n"/>
      <c r="D952" s="17" t="n"/>
      <c r="E952" s="17" t="n"/>
      <c r="F952" s="17" t="n"/>
      <c r="G952" s="15" t="n"/>
      <c r="H952" s="25">
        <f>IF(G952="","",SUMIF(C$2:C952,"Masuk",G$2:G952)-SUMIF(C$2:C952,"Keluar",G$2:G952))</f>
        <v/>
      </c>
    </row>
    <row r="953">
      <c r="A953" s="26" t="n"/>
      <c r="B953" s="27" t="n"/>
      <c r="C953" s="28" t="n"/>
      <c r="D953" s="29" t="n"/>
      <c r="E953" s="29" t="n"/>
      <c r="F953" s="29" t="n"/>
      <c r="G953" s="30" t="n"/>
      <c r="H953" s="31">
        <f>IF(G953="","",SUMIF(C$2:C953,"Masuk",G$2:G953)-SUMIF(C$2:C953,"Keluar",G$2:G953))</f>
        <v/>
      </c>
    </row>
    <row r="954">
      <c r="A954" s="22" t="n"/>
      <c r="B954" s="23" t="n"/>
      <c r="C954" s="24" t="n"/>
      <c r="D954" s="17" t="n"/>
      <c r="E954" s="17" t="n"/>
      <c r="F954" s="17" t="n"/>
      <c r="G954" s="15" t="n"/>
      <c r="H954" s="25">
        <f>IF(G954="","",SUMIF(C$2:C954,"Masuk",G$2:G954)-SUMIF(C$2:C954,"Keluar",G$2:G954))</f>
        <v/>
      </c>
    </row>
    <row r="955">
      <c r="A955" s="26" t="n"/>
      <c r="B955" s="27" t="n"/>
      <c r="C955" s="28" t="n"/>
      <c r="D955" s="29" t="n"/>
      <c r="E955" s="29" t="n"/>
      <c r="F955" s="29" t="n"/>
      <c r="G955" s="30" t="n"/>
      <c r="H955" s="31">
        <f>IF(G955="","",SUMIF(C$2:C955,"Masuk",G$2:G955)-SUMIF(C$2:C955,"Keluar",G$2:G955))</f>
        <v/>
      </c>
    </row>
    <row r="956">
      <c r="A956" s="22" t="n"/>
      <c r="B956" s="23" t="n"/>
      <c r="C956" s="24" t="n"/>
      <c r="D956" s="17" t="n"/>
      <c r="E956" s="17" t="n"/>
      <c r="F956" s="17" t="n"/>
      <c r="G956" s="15" t="n"/>
      <c r="H956" s="25">
        <f>IF(G956="","",SUMIF(C$2:C956,"Masuk",G$2:G956)-SUMIF(C$2:C956,"Keluar",G$2:G956))</f>
        <v/>
      </c>
    </row>
    <row r="957">
      <c r="A957" s="26" t="n"/>
      <c r="B957" s="27" t="n"/>
      <c r="C957" s="28" t="n"/>
      <c r="D957" s="29" t="n"/>
      <c r="E957" s="29" t="n"/>
      <c r="F957" s="29" t="n"/>
      <c r="G957" s="30" t="n"/>
      <c r="H957" s="31">
        <f>IF(G957="","",SUMIF(C$2:C957,"Masuk",G$2:G957)-SUMIF(C$2:C957,"Keluar",G$2:G957))</f>
        <v/>
      </c>
    </row>
    <row r="958">
      <c r="A958" s="22" t="n"/>
      <c r="B958" s="23" t="n"/>
      <c r="C958" s="24" t="n"/>
      <c r="D958" s="17" t="n"/>
      <c r="E958" s="17" t="n"/>
      <c r="F958" s="17" t="n"/>
      <c r="G958" s="15" t="n"/>
      <c r="H958" s="25">
        <f>IF(G958="","",SUMIF(C$2:C958,"Masuk",G$2:G958)-SUMIF(C$2:C958,"Keluar",G$2:G958))</f>
        <v/>
      </c>
    </row>
    <row r="959">
      <c r="A959" s="26" t="n"/>
      <c r="B959" s="27" t="n"/>
      <c r="C959" s="28" t="n"/>
      <c r="D959" s="29" t="n"/>
      <c r="E959" s="29" t="n"/>
      <c r="F959" s="29" t="n"/>
      <c r="G959" s="30" t="n"/>
      <c r="H959" s="31">
        <f>IF(G959="","",SUMIF(C$2:C959,"Masuk",G$2:G959)-SUMIF(C$2:C959,"Keluar",G$2:G959))</f>
        <v/>
      </c>
    </row>
    <row r="960">
      <c r="A960" s="22" t="n"/>
      <c r="B960" s="23" t="n"/>
      <c r="C960" s="24" t="n"/>
      <c r="D960" s="17" t="n"/>
      <c r="E960" s="17" t="n"/>
      <c r="F960" s="17" t="n"/>
      <c r="G960" s="15" t="n"/>
      <c r="H960" s="25">
        <f>IF(G960="","",SUMIF(C$2:C960,"Masuk",G$2:G960)-SUMIF(C$2:C960,"Keluar",G$2:G960))</f>
        <v/>
      </c>
    </row>
    <row r="961">
      <c r="A961" s="26" t="n"/>
      <c r="B961" s="27" t="n"/>
      <c r="C961" s="28" t="n"/>
      <c r="D961" s="29" t="n"/>
      <c r="E961" s="29" t="n"/>
      <c r="F961" s="29" t="n"/>
      <c r="G961" s="30" t="n"/>
      <c r="H961" s="31">
        <f>IF(G961="","",SUMIF(C$2:C961,"Masuk",G$2:G961)-SUMIF(C$2:C961,"Keluar",G$2:G961))</f>
        <v/>
      </c>
    </row>
    <row r="962">
      <c r="A962" s="22" t="n"/>
      <c r="B962" s="23" t="n"/>
      <c r="C962" s="24" t="n"/>
      <c r="D962" s="17" t="n"/>
      <c r="E962" s="17" t="n"/>
      <c r="F962" s="17" t="n"/>
      <c r="G962" s="15" t="n"/>
      <c r="H962" s="25">
        <f>IF(G962="","",SUMIF(C$2:C962,"Masuk",G$2:G962)-SUMIF(C$2:C962,"Keluar",G$2:G962))</f>
        <v/>
      </c>
    </row>
    <row r="963">
      <c r="A963" s="26" t="n"/>
      <c r="B963" s="27" t="n"/>
      <c r="C963" s="28" t="n"/>
      <c r="D963" s="29" t="n"/>
      <c r="E963" s="29" t="n"/>
      <c r="F963" s="29" t="n"/>
      <c r="G963" s="30" t="n"/>
      <c r="H963" s="31">
        <f>IF(G963="","",SUMIF(C$2:C963,"Masuk",G$2:G963)-SUMIF(C$2:C963,"Keluar",G$2:G963))</f>
        <v/>
      </c>
    </row>
    <row r="964">
      <c r="A964" s="22" t="n"/>
      <c r="B964" s="23" t="n"/>
      <c r="C964" s="24" t="n"/>
      <c r="D964" s="17" t="n"/>
      <c r="E964" s="17" t="n"/>
      <c r="F964" s="17" t="n"/>
      <c r="G964" s="15" t="n"/>
      <c r="H964" s="25">
        <f>IF(G964="","",SUMIF(C$2:C964,"Masuk",G$2:G964)-SUMIF(C$2:C964,"Keluar",G$2:G964))</f>
        <v/>
      </c>
    </row>
    <row r="965">
      <c r="A965" s="26" t="n"/>
      <c r="B965" s="27" t="n"/>
      <c r="C965" s="28" t="n"/>
      <c r="D965" s="29" t="n"/>
      <c r="E965" s="29" t="n"/>
      <c r="F965" s="29" t="n"/>
      <c r="G965" s="30" t="n"/>
      <c r="H965" s="31">
        <f>IF(G965="","",SUMIF(C$2:C965,"Masuk",G$2:G965)-SUMIF(C$2:C965,"Keluar",G$2:G965))</f>
        <v/>
      </c>
    </row>
    <row r="966">
      <c r="A966" s="22" t="n"/>
      <c r="B966" s="23" t="n"/>
      <c r="C966" s="24" t="n"/>
      <c r="D966" s="17" t="n"/>
      <c r="E966" s="17" t="n"/>
      <c r="F966" s="17" t="n"/>
      <c r="G966" s="15" t="n"/>
      <c r="H966" s="25">
        <f>IF(G966="","",SUMIF(C$2:C966,"Masuk",G$2:G966)-SUMIF(C$2:C966,"Keluar",G$2:G966))</f>
        <v/>
      </c>
    </row>
    <row r="967">
      <c r="A967" s="26" t="n"/>
      <c r="B967" s="27" t="n"/>
      <c r="C967" s="28" t="n"/>
      <c r="D967" s="29" t="n"/>
      <c r="E967" s="29" t="n"/>
      <c r="F967" s="29" t="n"/>
      <c r="G967" s="30" t="n"/>
      <c r="H967" s="31">
        <f>IF(G967="","",SUMIF(C$2:C967,"Masuk",G$2:G967)-SUMIF(C$2:C967,"Keluar",G$2:G967))</f>
        <v/>
      </c>
    </row>
    <row r="968">
      <c r="A968" s="22" t="n"/>
      <c r="B968" s="23" t="n"/>
      <c r="C968" s="24" t="n"/>
      <c r="D968" s="17" t="n"/>
      <c r="E968" s="17" t="n"/>
      <c r="F968" s="17" t="n"/>
      <c r="G968" s="15" t="n"/>
      <c r="H968" s="25">
        <f>IF(G968="","",SUMIF(C$2:C968,"Masuk",G$2:G968)-SUMIF(C$2:C968,"Keluar",G$2:G968))</f>
        <v/>
      </c>
    </row>
    <row r="969">
      <c r="A969" s="26" t="n"/>
      <c r="B969" s="27" t="n"/>
      <c r="C969" s="28" t="n"/>
      <c r="D969" s="29" t="n"/>
      <c r="E969" s="29" t="n"/>
      <c r="F969" s="29" t="n"/>
      <c r="G969" s="30" t="n"/>
      <c r="H969" s="31">
        <f>IF(G969="","",SUMIF(C$2:C969,"Masuk",G$2:G969)-SUMIF(C$2:C969,"Keluar",G$2:G969))</f>
        <v/>
      </c>
    </row>
    <row r="970">
      <c r="A970" s="22" t="n"/>
      <c r="B970" s="23" t="n"/>
      <c r="C970" s="24" t="n"/>
      <c r="D970" s="17" t="n"/>
      <c r="E970" s="17" t="n"/>
      <c r="F970" s="17" t="n"/>
      <c r="G970" s="15" t="n"/>
      <c r="H970" s="25">
        <f>IF(G970="","",SUMIF(C$2:C970,"Masuk",G$2:G970)-SUMIF(C$2:C970,"Keluar",G$2:G970))</f>
        <v/>
      </c>
    </row>
    <row r="971">
      <c r="A971" s="26" t="n"/>
      <c r="B971" s="27" t="n"/>
      <c r="C971" s="28" t="n"/>
      <c r="D971" s="29" t="n"/>
      <c r="E971" s="29" t="n"/>
      <c r="F971" s="29" t="n"/>
      <c r="G971" s="30" t="n"/>
      <c r="H971" s="31">
        <f>IF(G971="","",SUMIF(C$2:C971,"Masuk",G$2:G971)-SUMIF(C$2:C971,"Keluar",G$2:G971))</f>
        <v/>
      </c>
    </row>
    <row r="972">
      <c r="A972" s="22" t="n"/>
      <c r="B972" s="23" t="n"/>
      <c r="C972" s="24" t="n"/>
      <c r="D972" s="17" t="n"/>
      <c r="E972" s="17" t="n"/>
      <c r="F972" s="17" t="n"/>
      <c r="G972" s="15" t="n"/>
      <c r="H972" s="25">
        <f>IF(G972="","",SUMIF(C$2:C972,"Masuk",G$2:G972)-SUMIF(C$2:C972,"Keluar",G$2:G972))</f>
        <v/>
      </c>
    </row>
    <row r="973">
      <c r="A973" s="26" t="n"/>
      <c r="B973" s="27" t="n"/>
      <c r="C973" s="28" t="n"/>
      <c r="D973" s="29" t="n"/>
      <c r="E973" s="29" t="n"/>
      <c r="F973" s="29" t="n"/>
      <c r="G973" s="30" t="n"/>
      <c r="H973" s="31">
        <f>IF(G973="","",SUMIF(C$2:C973,"Masuk",G$2:G973)-SUMIF(C$2:C973,"Keluar",G$2:G973))</f>
        <v/>
      </c>
    </row>
    <row r="974">
      <c r="A974" s="22" t="n"/>
      <c r="B974" s="23" t="n"/>
      <c r="C974" s="24" t="n"/>
      <c r="D974" s="17" t="n"/>
      <c r="E974" s="17" t="n"/>
      <c r="F974" s="17" t="n"/>
      <c r="G974" s="15" t="n"/>
      <c r="H974" s="25">
        <f>IF(G974="","",SUMIF(C$2:C974,"Masuk",G$2:G974)-SUMIF(C$2:C974,"Keluar",G$2:G974))</f>
        <v/>
      </c>
    </row>
    <row r="975">
      <c r="A975" s="26" t="n"/>
      <c r="B975" s="27" t="n"/>
      <c r="C975" s="28" t="n"/>
      <c r="D975" s="29" t="n"/>
      <c r="E975" s="29" t="n"/>
      <c r="F975" s="29" t="n"/>
      <c r="G975" s="30" t="n"/>
      <c r="H975" s="31">
        <f>IF(G975="","",SUMIF(C$2:C975,"Masuk",G$2:G975)-SUMIF(C$2:C975,"Keluar",G$2:G975))</f>
        <v/>
      </c>
    </row>
    <row r="976">
      <c r="A976" s="22" t="n"/>
      <c r="B976" s="23" t="n"/>
      <c r="C976" s="24" t="n"/>
      <c r="D976" s="17" t="n"/>
      <c r="E976" s="17" t="n"/>
      <c r="F976" s="17" t="n"/>
      <c r="G976" s="15" t="n"/>
      <c r="H976" s="25">
        <f>IF(G976="","",SUMIF(C$2:C976,"Masuk",G$2:G976)-SUMIF(C$2:C976,"Keluar",G$2:G976))</f>
        <v/>
      </c>
    </row>
    <row r="977">
      <c r="A977" s="26" t="n"/>
      <c r="B977" s="27" t="n"/>
      <c r="C977" s="28" t="n"/>
      <c r="D977" s="29" t="n"/>
      <c r="E977" s="29" t="n"/>
      <c r="F977" s="29" t="n"/>
      <c r="G977" s="30" t="n"/>
      <c r="H977" s="31">
        <f>IF(G977="","",SUMIF(C$2:C977,"Masuk",G$2:G977)-SUMIF(C$2:C977,"Keluar",G$2:G977))</f>
        <v/>
      </c>
    </row>
    <row r="978">
      <c r="A978" s="22" t="n"/>
      <c r="B978" s="23" t="n"/>
      <c r="C978" s="24" t="n"/>
      <c r="D978" s="17" t="n"/>
      <c r="E978" s="17" t="n"/>
      <c r="F978" s="17" t="n"/>
      <c r="G978" s="15" t="n"/>
      <c r="H978" s="25">
        <f>IF(G978="","",SUMIF(C$2:C978,"Masuk",G$2:G978)-SUMIF(C$2:C978,"Keluar",G$2:G978))</f>
        <v/>
      </c>
    </row>
    <row r="979">
      <c r="A979" s="26" t="n"/>
      <c r="B979" s="27" t="n"/>
      <c r="C979" s="28" t="n"/>
      <c r="D979" s="29" t="n"/>
      <c r="E979" s="29" t="n"/>
      <c r="F979" s="29" t="n"/>
      <c r="G979" s="30" t="n"/>
      <c r="H979" s="31">
        <f>IF(G979="","",SUMIF(C$2:C979,"Masuk",G$2:G979)-SUMIF(C$2:C979,"Keluar",G$2:G979))</f>
        <v/>
      </c>
    </row>
    <row r="980">
      <c r="A980" s="22" t="n"/>
      <c r="B980" s="23" t="n"/>
      <c r="C980" s="24" t="n"/>
      <c r="D980" s="17" t="n"/>
      <c r="E980" s="17" t="n"/>
      <c r="F980" s="17" t="n"/>
      <c r="G980" s="15" t="n"/>
      <c r="H980" s="25">
        <f>IF(G980="","",SUMIF(C$2:C980,"Masuk",G$2:G980)-SUMIF(C$2:C980,"Keluar",G$2:G980))</f>
        <v/>
      </c>
    </row>
    <row r="981">
      <c r="A981" s="26" t="n"/>
      <c r="B981" s="27" t="n"/>
      <c r="C981" s="28" t="n"/>
      <c r="D981" s="29" t="n"/>
      <c r="E981" s="29" t="n"/>
      <c r="F981" s="29" t="n"/>
      <c r="G981" s="30" t="n"/>
      <c r="H981" s="31">
        <f>IF(G981="","",SUMIF(C$2:C981,"Masuk",G$2:G981)-SUMIF(C$2:C981,"Keluar",G$2:G981))</f>
        <v/>
      </c>
    </row>
    <row r="982">
      <c r="A982" s="22" t="n"/>
      <c r="B982" s="23" t="n"/>
      <c r="C982" s="24" t="n"/>
      <c r="D982" s="17" t="n"/>
      <c r="E982" s="17" t="n"/>
      <c r="F982" s="17" t="n"/>
      <c r="G982" s="15" t="n"/>
      <c r="H982" s="25">
        <f>IF(G982="","",SUMIF(C$2:C982,"Masuk",G$2:G982)-SUMIF(C$2:C982,"Keluar",G$2:G982))</f>
        <v/>
      </c>
    </row>
    <row r="983">
      <c r="A983" s="26" t="n"/>
      <c r="B983" s="27" t="n"/>
      <c r="C983" s="28" t="n"/>
      <c r="D983" s="29" t="n"/>
      <c r="E983" s="29" t="n"/>
      <c r="F983" s="29" t="n"/>
      <c r="G983" s="30" t="n"/>
      <c r="H983" s="31">
        <f>IF(G983="","",SUMIF(C$2:C983,"Masuk",G$2:G983)-SUMIF(C$2:C983,"Keluar",G$2:G983))</f>
        <v/>
      </c>
    </row>
    <row r="984">
      <c r="A984" s="22" t="n"/>
      <c r="B984" s="23" t="n"/>
      <c r="C984" s="24" t="n"/>
      <c r="D984" s="17" t="n"/>
      <c r="E984" s="17" t="n"/>
      <c r="F984" s="17" t="n"/>
      <c r="G984" s="15" t="n"/>
      <c r="H984" s="25">
        <f>IF(G984="","",SUMIF(C$2:C984,"Masuk",G$2:G984)-SUMIF(C$2:C984,"Keluar",G$2:G984))</f>
        <v/>
      </c>
    </row>
    <row r="985">
      <c r="A985" s="26" t="n"/>
      <c r="B985" s="27" t="n"/>
      <c r="C985" s="28" t="n"/>
      <c r="D985" s="29" t="n"/>
      <c r="E985" s="29" t="n"/>
      <c r="F985" s="29" t="n"/>
      <c r="G985" s="30" t="n"/>
      <c r="H985" s="31">
        <f>IF(G985="","",SUMIF(C$2:C985,"Masuk",G$2:G985)-SUMIF(C$2:C985,"Keluar",G$2:G985))</f>
        <v/>
      </c>
    </row>
    <row r="986">
      <c r="A986" s="22" t="n"/>
      <c r="B986" s="23" t="n"/>
      <c r="C986" s="24" t="n"/>
      <c r="D986" s="17" t="n"/>
      <c r="E986" s="17" t="n"/>
      <c r="F986" s="17" t="n"/>
      <c r="G986" s="15" t="n"/>
      <c r="H986" s="25">
        <f>IF(G986="","",SUMIF(C$2:C986,"Masuk",G$2:G986)-SUMIF(C$2:C986,"Keluar",G$2:G986))</f>
        <v/>
      </c>
    </row>
    <row r="987">
      <c r="A987" s="26" t="n"/>
      <c r="B987" s="27" t="n"/>
      <c r="C987" s="28" t="n"/>
      <c r="D987" s="29" t="n"/>
      <c r="E987" s="29" t="n"/>
      <c r="F987" s="29" t="n"/>
      <c r="G987" s="30" t="n"/>
      <c r="H987" s="31">
        <f>IF(G987="","",SUMIF(C$2:C987,"Masuk",G$2:G987)-SUMIF(C$2:C987,"Keluar",G$2:G987))</f>
        <v/>
      </c>
    </row>
    <row r="988">
      <c r="A988" s="22" t="n"/>
      <c r="B988" s="23" t="n"/>
      <c r="C988" s="24" t="n"/>
      <c r="D988" s="17" t="n"/>
      <c r="E988" s="17" t="n"/>
      <c r="F988" s="17" t="n"/>
      <c r="G988" s="15" t="n"/>
      <c r="H988" s="25">
        <f>IF(G988="","",SUMIF(C$2:C988,"Masuk",G$2:G988)-SUMIF(C$2:C988,"Keluar",G$2:G988))</f>
        <v/>
      </c>
    </row>
    <row r="989">
      <c r="A989" s="26" t="n"/>
      <c r="B989" s="27" t="n"/>
      <c r="C989" s="28" t="n"/>
      <c r="D989" s="29" t="n"/>
      <c r="E989" s="29" t="n"/>
      <c r="F989" s="29" t="n"/>
      <c r="G989" s="30" t="n"/>
      <c r="H989" s="31">
        <f>IF(G989="","",SUMIF(C$2:C989,"Masuk",G$2:G989)-SUMIF(C$2:C989,"Keluar",G$2:G989))</f>
        <v/>
      </c>
    </row>
    <row r="990">
      <c r="A990" s="22" t="n"/>
      <c r="B990" s="23" t="n"/>
      <c r="C990" s="24" t="n"/>
      <c r="D990" s="17" t="n"/>
      <c r="E990" s="17" t="n"/>
      <c r="F990" s="17" t="n"/>
      <c r="G990" s="15" t="n"/>
      <c r="H990" s="25">
        <f>IF(G990="","",SUMIF(C$2:C990,"Masuk",G$2:G990)-SUMIF(C$2:C990,"Keluar",G$2:G990))</f>
        <v/>
      </c>
    </row>
    <row r="991">
      <c r="A991" s="26" t="n"/>
      <c r="B991" s="27" t="n"/>
      <c r="C991" s="28" t="n"/>
      <c r="D991" s="29" t="n"/>
      <c r="E991" s="29" t="n"/>
      <c r="F991" s="29" t="n"/>
      <c r="G991" s="30" t="n"/>
      <c r="H991" s="31">
        <f>IF(G991="","",SUMIF(C$2:C991,"Masuk",G$2:G991)-SUMIF(C$2:C991,"Keluar",G$2:G991))</f>
        <v/>
      </c>
    </row>
    <row r="992">
      <c r="A992" s="22" t="n"/>
      <c r="B992" s="23" t="n"/>
      <c r="C992" s="24" t="n"/>
      <c r="D992" s="17" t="n"/>
      <c r="E992" s="17" t="n"/>
      <c r="F992" s="17" t="n"/>
      <c r="G992" s="15" t="n"/>
      <c r="H992" s="25">
        <f>IF(G992="","",SUMIF(C$2:C992,"Masuk",G$2:G992)-SUMIF(C$2:C992,"Keluar",G$2:G992))</f>
        <v/>
      </c>
    </row>
    <row r="993">
      <c r="A993" s="26" t="n"/>
      <c r="B993" s="27" t="n"/>
      <c r="C993" s="28" t="n"/>
      <c r="D993" s="29" t="n"/>
      <c r="E993" s="29" t="n"/>
      <c r="F993" s="29" t="n"/>
      <c r="G993" s="30" t="n"/>
      <c r="H993" s="31">
        <f>IF(G993="","",SUMIF(C$2:C993,"Masuk",G$2:G993)-SUMIF(C$2:C993,"Keluar",G$2:G993))</f>
        <v/>
      </c>
    </row>
    <row r="994">
      <c r="A994" s="22" t="n"/>
      <c r="B994" s="23" t="n"/>
      <c r="C994" s="24" t="n"/>
      <c r="D994" s="17" t="n"/>
      <c r="E994" s="17" t="n"/>
      <c r="F994" s="17" t="n"/>
      <c r="G994" s="15" t="n"/>
      <c r="H994" s="25">
        <f>IF(G994="","",SUMIF(C$2:C994,"Masuk",G$2:G994)-SUMIF(C$2:C994,"Keluar",G$2:G994))</f>
        <v/>
      </c>
    </row>
    <row r="995">
      <c r="A995" s="26" t="n"/>
      <c r="B995" s="27" t="n"/>
      <c r="C995" s="28" t="n"/>
      <c r="D995" s="29" t="n"/>
      <c r="E995" s="29" t="n"/>
      <c r="F995" s="29" t="n"/>
      <c r="G995" s="30" t="n"/>
      <c r="H995" s="31">
        <f>IF(G995="","",SUMIF(C$2:C995,"Masuk",G$2:G995)-SUMIF(C$2:C995,"Keluar",G$2:G995))</f>
        <v/>
      </c>
    </row>
    <row r="996">
      <c r="A996" s="22" t="n"/>
      <c r="B996" s="23" t="n"/>
      <c r="C996" s="24" t="n"/>
      <c r="D996" s="17" t="n"/>
      <c r="E996" s="17" t="n"/>
      <c r="F996" s="17" t="n"/>
      <c r="G996" s="15" t="n"/>
      <c r="H996" s="25">
        <f>IF(G996="","",SUMIF(C$2:C996,"Masuk",G$2:G996)-SUMIF(C$2:C996,"Keluar",G$2:G996))</f>
        <v/>
      </c>
    </row>
    <row r="997">
      <c r="A997" s="26" t="n"/>
      <c r="B997" s="27" t="n"/>
      <c r="C997" s="28" t="n"/>
      <c r="D997" s="29" t="n"/>
      <c r="E997" s="29" t="n"/>
      <c r="F997" s="29" t="n"/>
      <c r="G997" s="30" t="n"/>
      <c r="H997" s="31">
        <f>IF(G997="","",SUMIF(C$2:C997,"Masuk",G$2:G997)-SUMIF(C$2:C997,"Keluar",G$2:G997))</f>
        <v/>
      </c>
    </row>
    <row r="998">
      <c r="A998" s="22" t="n"/>
      <c r="B998" s="23" t="n"/>
      <c r="C998" s="24" t="n"/>
      <c r="D998" s="17" t="n"/>
      <c r="E998" s="17" t="n"/>
      <c r="F998" s="17" t="n"/>
      <c r="G998" s="15" t="n"/>
      <c r="H998" s="25">
        <f>IF(G998="","",SUMIF(C$2:C998,"Masuk",G$2:G998)-SUMIF(C$2:C998,"Keluar",G$2:G998))</f>
        <v/>
      </c>
    </row>
    <row r="999">
      <c r="A999" s="26" t="n"/>
      <c r="B999" s="27" t="n"/>
      <c r="C999" s="28" t="n"/>
      <c r="D999" s="29" t="n"/>
      <c r="E999" s="29" t="n"/>
      <c r="F999" s="29" t="n"/>
      <c r="G999" s="30" t="n"/>
      <c r="H999" s="31">
        <f>IF(G999="","",SUMIF(C$2:C999,"Masuk",G$2:G999)-SUMIF(C$2:C999,"Keluar",G$2:G999))</f>
        <v/>
      </c>
    </row>
    <row r="1000">
      <c r="A1000" s="22" t="n"/>
      <c r="B1000" s="23" t="n"/>
      <c r="C1000" s="24" t="n"/>
      <c r="D1000" s="17" t="n"/>
      <c r="E1000" s="17" t="n"/>
      <c r="F1000" s="17" t="n"/>
      <c r="G1000" s="15" t="n"/>
      <c r="H1000" s="25">
        <f>IF(G1000="","",SUMIF(C$2:C1000,"Masuk",G$2:G1000)-SUMIF(C$2:C1000,"Keluar",G$2:G1000))</f>
        <v/>
      </c>
    </row>
    <row r="1001">
      <c r="A1001" s="26" t="n"/>
      <c r="B1001" s="27" t="n"/>
      <c r="C1001" s="28" t="n"/>
      <c r="D1001" s="29" t="n"/>
      <c r="E1001" s="29" t="n"/>
      <c r="F1001" s="29" t="n"/>
      <c r="G1001" s="30" t="n"/>
      <c r="H1001" s="31">
        <f>IF(G1001="","",SUMIF(C$2:C1001,"Masuk",G$2:G1001)-SUMIF(C$2:C1001,"Keluar",G$2:G1001))</f>
        <v/>
      </c>
    </row>
    <row r="1002">
      <c r="A1002" s="22" t="n"/>
      <c r="B1002" s="23" t="n"/>
      <c r="C1002" s="24" t="n"/>
      <c r="D1002" s="17" t="n"/>
      <c r="E1002" s="17" t="n"/>
      <c r="F1002" s="17" t="n"/>
      <c r="G1002" s="15" t="n"/>
      <c r="H1002" s="25">
        <f>IF(G1002="","",SUMIF(C$2:C1002,"Masuk",G$2:G1002)-SUMIF(C$2:C1002,"Keluar",G$2:G1002))</f>
        <v/>
      </c>
    </row>
    <row r="1003">
      <c r="A1003" s="26" t="n"/>
      <c r="B1003" s="27" t="n"/>
      <c r="C1003" s="28" t="n"/>
      <c r="D1003" s="29" t="n"/>
      <c r="E1003" s="29" t="n"/>
      <c r="F1003" s="29" t="n"/>
      <c r="G1003" s="30" t="n"/>
      <c r="H1003" s="31">
        <f>IF(G1003="","",SUMIF(C$2:C1003,"Masuk",G$2:G1003)-SUMIF(C$2:C1003,"Keluar",G$2:G1003))</f>
        <v/>
      </c>
    </row>
    <row r="1004">
      <c r="A1004" s="22" t="n"/>
      <c r="B1004" s="23" t="n"/>
      <c r="C1004" s="24" t="n"/>
      <c r="D1004" s="17" t="n"/>
      <c r="E1004" s="17" t="n"/>
      <c r="F1004" s="17" t="n"/>
      <c r="G1004" s="15" t="n"/>
      <c r="H1004" s="25">
        <f>IF(G1004="","",SUMIF(C$2:C1004,"Masuk",G$2:G1004)-SUMIF(C$2:C1004,"Keluar",G$2:G1004))</f>
        <v/>
      </c>
    </row>
    <row r="1005">
      <c r="A1005" s="26" t="n"/>
      <c r="B1005" s="27" t="n"/>
      <c r="C1005" s="28" t="n"/>
      <c r="D1005" s="29" t="n"/>
      <c r="E1005" s="29" t="n"/>
      <c r="F1005" s="29" t="n"/>
      <c r="G1005" s="30" t="n"/>
      <c r="H1005" s="31">
        <f>IF(G1005="","",SUMIF(C$2:C1005,"Masuk",G$2:G1005)-SUMIF(C$2:C1005,"Keluar",G$2:G1005))</f>
        <v/>
      </c>
    </row>
    <row r="1006">
      <c r="A1006" s="22" t="n"/>
      <c r="B1006" s="23" t="n"/>
      <c r="C1006" s="24" t="n"/>
      <c r="D1006" s="17" t="n"/>
      <c r="E1006" s="17" t="n"/>
      <c r="F1006" s="17" t="n"/>
      <c r="G1006" s="15" t="n"/>
      <c r="H1006" s="25">
        <f>IF(G1006="","",SUMIF(C$2:C1006,"Masuk",G$2:G1006)-SUMIF(C$2:C1006,"Keluar",G$2:G1006))</f>
        <v/>
      </c>
    </row>
    <row r="1007">
      <c r="A1007" s="26" t="n"/>
      <c r="B1007" s="27" t="n"/>
      <c r="C1007" s="28" t="n"/>
      <c r="D1007" s="29" t="n"/>
      <c r="E1007" s="29" t="n"/>
      <c r="F1007" s="29" t="n"/>
      <c r="G1007" s="30" t="n"/>
      <c r="H1007" s="31">
        <f>IF(G1007="","",SUMIF(C$2:C1007,"Masuk",G$2:G1007)-SUMIF(C$2:C1007,"Keluar",G$2:G1007))</f>
        <v/>
      </c>
    </row>
    <row r="1008">
      <c r="A1008" s="22" t="n"/>
      <c r="B1008" s="23" t="n"/>
      <c r="C1008" s="24" t="n"/>
      <c r="D1008" s="17" t="n"/>
      <c r="E1008" s="17" t="n"/>
      <c r="F1008" s="17" t="n"/>
      <c r="G1008" s="15" t="n"/>
      <c r="H1008" s="25">
        <f>IF(G1008="","",SUMIF(C$2:C1008,"Masuk",G$2:G1008)-SUMIF(C$2:C1008,"Keluar",G$2:G1008))</f>
        <v/>
      </c>
    </row>
    <row r="1009">
      <c r="A1009" s="26" t="n"/>
      <c r="B1009" s="27" t="n"/>
      <c r="C1009" s="28" t="n"/>
      <c r="D1009" s="29" t="n"/>
      <c r="E1009" s="29" t="n"/>
      <c r="F1009" s="29" t="n"/>
      <c r="G1009" s="30" t="n"/>
      <c r="H1009" s="31">
        <f>IF(G1009="","",SUMIF(C$2:C1009,"Masuk",G$2:G1009)-SUMIF(C$2:C1009,"Keluar",G$2:G1009))</f>
        <v/>
      </c>
    </row>
    <row r="1010">
      <c r="A1010" s="22" t="n"/>
      <c r="B1010" s="23" t="n"/>
      <c r="C1010" s="24" t="n"/>
      <c r="D1010" s="17" t="n"/>
      <c r="E1010" s="17" t="n"/>
      <c r="F1010" s="17" t="n"/>
      <c r="G1010" s="15" t="n"/>
      <c r="H1010" s="25">
        <f>IF(G1010="","",SUMIF(C$2:C1010,"Masuk",G$2:G1010)-SUMIF(C$2:C1010,"Keluar",G$2:G1010))</f>
        <v/>
      </c>
    </row>
    <row r="1011">
      <c r="A1011" s="26" t="n"/>
      <c r="B1011" s="27" t="n"/>
      <c r="C1011" s="28" t="n"/>
      <c r="D1011" s="29" t="n"/>
      <c r="E1011" s="29" t="n"/>
      <c r="F1011" s="29" t="n"/>
      <c r="G1011" s="30" t="n"/>
      <c r="H1011" s="31">
        <f>IF(G1011="","",SUMIF(C$2:C1011,"Masuk",G$2:G1011)-SUMIF(C$2:C1011,"Keluar",G$2:G1011))</f>
        <v/>
      </c>
    </row>
    <row r="1012">
      <c r="A1012" s="22" t="n"/>
      <c r="B1012" s="23" t="n"/>
      <c r="C1012" s="24" t="n"/>
      <c r="D1012" s="17" t="n"/>
      <c r="E1012" s="17" t="n"/>
      <c r="F1012" s="17" t="n"/>
      <c r="G1012" s="15" t="n"/>
      <c r="H1012" s="25">
        <f>IF(G1012="","",SUMIF(C$2:C1012,"Masuk",G$2:G1012)-SUMIF(C$2:C1012,"Keluar",G$2:G1012))</f>
        <v/>
      </c>
    </row>
    <row r="1013">
      <c r="A1013" s="26" t="n"/>
      <c r="B1013" s="27" t="n"/>
      <c r="C1013" s="28" t="n"/>
      <c r="D1013" s="29" t="n"/>
      <c r="E1013" s="29" t="n"/>
      <c r="F1013" s="29" t="n"/>
      <c r="G1013" s="30" t="n"/>
      <c r="H1013" s="31">
        <f>IF(G1013="","",SUMIF(C$2:C1013,"Masuk",G$2:G1013)-SUMIF(C$2:C1013,"Keluar",G$2:G1013))</f>
        <v/>
      </c>
    </row>
    <row r="1014">
      <c r="A1014" s="22" t="n"/>
      <c r="B1014" s="23" t="n"/>
      <c r="C1014" s="24" t="n"/>
      <c r="D1014" s="17" t="n"/>
      <c r="E1014" s="17" t="n"/>
      <c r="F1014" s="17" t="n"/>
      <c r="G1014" s="15" t="n"/>
      <c r="H1014" s="25">
        <f>IF(G1014="","",SUMIF(C$2:C1014,"Masuk",G$2:G1014)-SUMIF(C$2:C1014,"Keluar",G$2:G1014))</f>
        <v/>
      </c>
    </row>
    <row r="1015">
      <c r="A1015" s="26" t="n"/>
      <c r="B1015" s="27" t="n"/>
      <c r="C1015" s="28" t="n"/>
      <c r="D1015" s="29" t="n"/>
      <c r="E1015" s="29" t="n"/>
      <c r="F1015" s="29" t="n"/>
      <c r="G1015" s="30" t="n"/>
      <c r="H1015" s="31">
        <f>IF(G1015="","",SUMIF(C$2:C1015,"Masuk",G$2:G1015)-SUMIF(C$2:C1015,"Keluar",G$2:G1015))</f>
        <v/>
      </c>
    </row>
    <row r="1016">
      <c r="A1016" s="22" t="n"/>
      <c r="B1016" s="23" t="n"/>
      <c r="C1016" s="24" t="n"/>
      <c r="D1016" s="17" t="n"/>
      <c r="E1016" s="17" t="n"/>
      <c r="F1016" s="17" t="n"/>
      <c r="G1016" s="15" t="n"/>
      <c r="H1016" s="25">
        <f>IF(G1016="","",SUMIF(C$2:C1016,"Masuk",G$2:G1016)-SUMIF(C$2:C1016,"Keluar",G$2:G1016))</f>
        <v/>
      </c>
    </row>
    <row r="1017">
      <c r="A1017" s="26" t="n"/>
      <c r="B1017" s="27" t="n"/>
      <c r="C1017" s="28" t="n"/>
      <c r="D1017" s="29" t="n"/>
      <c r="E1017" s="29" t="n"/>
      <c r="F1017" s="29" t="n"/>
      <c r="G1017" s="30" t="n"/>
      <c r="H1017" s="31">
        <f>IF(G1017="","",SUMIF(C$2:C1017,"Masuk",G$2:G1017)-SUMIF(C$2:C1017,"Keluar",G$2:G1017))</f>
        <v/>
      </c>
    </row>
    <row r="1018">
      <c r="A1018" s="22" t="n"/>
      <c r="B1018" s="23" t="n"/>
      <c r="C1018" s="24" t="n"/>
      <c r="D1018" s="17" t="n"/>
      <c r="E1018" s="17" t="n"/>
      <c r="F1018" s="17" t="n"/>
      <c r="G1018" s="15" t="n"/>
      <c r="H1018" s="25">
        <f>IF(G1018="","",SUMIF(C$2:C1018,"Masuk",G$2:G1018)-SUMIF(C$2:C1018,"Keluar",G$2:G1018))</f>
        <v/>
      </c>
    </row>
    <row r="1019">
      <c r="A1019" s="26" t="n"/>
      <c r="B1019" s="27" t="n"/>
      <c r="C1019" s="28" t="n"/>
      <c r="D1019" s="29" t="n"/>
      <c r="E1019" s="29" t="n"/>
      <c r="F1019" s="29" t="n"/>
      <c r="G1019" s="30" t="n"/>
      <c r="H1019" s="31">
        <f>IF(G1019="","",SUMIF(C$2:C1019,"Masuk",G$2:G1019)-SUMIF(C$2:C1019,"Keluar",G$2:G1019))</f>
        <v/>
      </c>
    </row>
    <row r="1020">
      <c r="A1020" s="22" t="n"/>
      <c r="B1020" s="23" t="n"/>
      <c r="C1020" s="24" t="n"/>
      <c r="D1020" s="17" t="n"/>
      <c r="E1020" s="17" t="n"/>
      <c r="F1020" s="17" t="n"/>
      <c r="G1020" s="15" t="n"/>
      <c r="H1020" s="25">
        <f>IF(G1020="","",SUMIF(C$2:C1020,"Masuk",G$2:G1020)-SUMIF(C$2:C1020,"Keluar",G$2:G1020))</f>
        <v/>
      </c>
    </row>
    <row r="1021">
      <c r="A1021" s="26" t="n"/>
      <c r="B1021" s="27" t="n"/>
      <c r="C1021" s="28" t="n"/>
      <c r="D1021" s="29" t="n"/>
      <c r="E1021" s="29" t="n"/>
      <c r="F1021" s="29" t="n"/>
      <c r="G1021" s="30" t="n"/>
      <c r="H1021" s="31">
        <f>IF(G1021="","",SUMIF(C$2:C1021,"Masuk",G$2:G1021)-SUMIF(C$2:C1021,"Keluar",G$2:G1021))</f>
        <v/>
      </c>
    </row>
    <row r="1022">
      <c r="A1022" s="22" t="n"/>
      <c r="B1022" s="23" t="n"/>
      <c r="C1022" s="24" t="n"/>
      <c r="D1022" s="17" t="n"/>
      <c r="E1022" s="17" t="n"/>
      <c r="F1022" s="17" t="n"/>
      <c r="G1022" s="15" t="n"/>
      <c r="H1022" s="25">
        <f>IF(G1022="","",SUMIF(C$2:C1022,"Masuk",G$2:G1022)-SUMIF(C$2:C1022,"Keluar",G$2:G1022))</f>
        <v/>
      </c>
    </row>
    <row r="1023">
      <c r="A1023" s="26" t="n"/>
      <c r="B1023" s="27" t="n"/>
      <c r="C1023" s="28" t="n"/>
      <c r="D1023" s="29" t="n"/>
      <c r="E1023" s="29" t="n"/>
      <c r="F1023" s="29" t="n"/>
      <c r="G1023" s="30" t="n"/>
      <c r="H1023" s="31">
        <f>IF(G1023="","",SUMIF(C$2:C1023,"Masuk",G$2:G1023)-SUMIF(C$2:C1023,"Keluar",G$2:G1023))</f>
        <v/>
      </c>
    </row>
    <row r="1024">
      <c r="A1024" s="22" t="n"/>
      <c r="B1024" s="23" t="n"/>
      <c r="C1024" s="24" t="n"/>
      <c r="D1024" s="17" t="n"/>
      <c r="E1024" s="17" t="n"/>
      <c r="F1024" s="17" t="n"/>
      <c r="G1024" s="15" t="n"/>
      <c r="H1024" s="25">
        <f>IF(G1024="","",SUMIF(C$2:C1024,"Masuk",G$2:G1024)-SUMIF(C$2:C1024,"Keluar",G$2:G1024))</f>
        <v/>
      </c>
    </row>
    <row r="1025">
      <c r="A1025" s="26" t="n"/>
      <c r="B1025" s="27" t="n"/>
      <c r="C1025" s="28" t="n"/>
      <c r="D1025" s="29" t="n"/>
      <c r="E1025" s="29" t="n"/>
      <c r="F1025" s="29" t="n"/>
      <c r="G1025" s="30" t="n"/>
      <c r="H1025" s="31">
        <f>IF(G1025="","",SUMIF(C$2:C1025,"Masuk",G$2:G1025)-SUMIF(C$2:C1025,"Keluar",G$2:G1025))</f>
        <v/>
      </c>
    </row>
    <row r="1026">
      <c r="A1026" s="22" t="n"/>
      <c r="B1026" s="23" t="n"/>
      <c r="C1026" s="24" t="n"/>
      <c r="D1026" s="17" t="n"/>
      <c r="E1026" s="17" t="n"/>
      <c r="F1026" s="17" t="n"/>
      <c r="G1026" s="15" t="n"/>
      <c r="H1026" s="25">
        <f>IF(G1026="","",SUMIF(C$2:C1026,"Masuk",G$2:G1026)-SUMIF(C$2:C1026,"Keluar",G$2:G1026))</f>
        <v/>
      </c>
    </row>
    <row r="1027">
      <c r="A1027" s="26" t="n"/>
      <c r="B1027" s="27" t="n"/>
      <c r="C1027" s="28" t="n"/>
      <c r="D1027" s="29" t="n"/>
      <c r="E1027" s="29" t="n"/>
      <c r="F1027" s="29" t="n"/>
      <c r="G1027" s="30" t="n"/>
      <c r="H1027" s="31">
        <f>IF(G1027="","",SUMIF(C$2:C1027,"Masuk",G$2:G1027)-SUMIF(C$2:C1027,"Keluar",G$2:G1027))</f>
        <v/>
      </c>
    </row>
    <row r="1028">
      <c r="A1028" s="22" t="n"/>
      <c r="B1028" s="23" t="n"/>
      <c r="C1028" s="24" t="n"/>
      <c r="D1028" s="17" t="n"/>
      <c r="E1028" s="17" t="n"/>
      <c r="F1028" s="17" t="n"/>
      <c r="G1028" s="15" t="n"/>
      <c r="H1028" s="25">
        <f>IF(G1028="","",SUMIF(C$2:C1028,"Masuk",G$2:G1028)-SUMIF(C$2:C1028,"Keluar",G$2:G1028))</f>
        <v/>
      </c>
    </row>
    <row r="1029">
      <c r="A1029" s="26" t="n"/>
      <c r="B1029" s="27" t="n"/>
      <c r="C1029" s="28" t="n"/>
      <c r="D1029" s="29" t="n"/>
      <c r="E1029" s="29" t="n"/>
      <c r="F1029" s="29" t="n"/>
      <c r="G1029" s="30" t="n"/>
      <c r="H1029" s="31">
        <f>IF(G1029="","",SUMIF(C$2:C1029,"Masuk",G$2:G1029)-SUMIF(C$2:C1029,"Keluar",G$2:G1029))</f>
        <v/>
      </c>
    </row>
    <row r="1030">
      <c r="A1030" s="22" t="n"/>
      <c r="B1030" s="23" t="n"/>
      <c r="C1030" s="24" t="n"/>
      <c r="D1030" s="17" t="n"/>
      <c r="E1030" s="17" t="n"/>
      <c r="F1030" s="17" t="n"/>
      <c r="G1030" s="15" t="n"/>
      <c r="H1030" s="25">
        <f>IF(G1030="","",SUMIF(C$2:C1030,"Masuk",G$2:G1030)-SUMIF(C$2:C1030,"Keluar",G$2:G1030))</f>
        <v/>
      </c>
    </row>
    <row r="1031">
      <c r="A1031" s="26" t="n"/>
      <c r="B1031" s="27" t="n"/>
      <c r="C1031" s="28" t="n"/>
      <c r="D1031" s="29" t="n"/>
      <c r="E1031" s="29" t="n"/>
      <c r="F1031" s="29" t="n"/>
      <c r="G1031" s="30" t="n"/>
      <c r="H1031" s="31">
        <f>IF(G1031="","",SUMIF(C$2:C1031,"Masuk",G$2:G1031)-SUMIF(C$2:C1031,"Keluar",G$2:G1031))</f>
        <v/>
      </c>
    </row>
    <row r="1032">
      <c r="A1032" s="22" t="n"/>
      <c r="B1032" s="23" t="n"/>
      <c r="C1032" s="24" t="n"/>
      <c r="D1032" s="17" t="n"/>
      <c r="E1032" s="17" t="n"/>
      <c r="F1032" s="17" t="n"/>
      <c r="G1032" s="15" t="n"/>
      <c r="H1032" s="25">
        <f>IF(G1032="","",SUMIF(C$2:C1032,"Masuk",G$2:G1032)-SUMIF(C$2:C1032,"Keluar",G$2:G1032))</f>
        <v/>
      </c>
    </row>
    <row r="1033">
      <c r="A1033" s="26" t="n"/>
      <c r="B1033" s="27" t="n"/>
      <c r="C1033" s="28" t="n"/>
      <c r="D1033" s="29" t="n"/>
      <c r="E1033" s="29" t="n"/>
      <c r="F1033" s="29" t="n"/>
      <c r="G1033" s="30" t="n"/>
      <c r="H1033" s="31">
        <f>IF(G1033="","",SUMIF(C$2:C1033,"Masuk",G$2:G1033)-SUMIF(C$2:C1033,"Keluar",G$2:G1033))</f>
        <v/>
      </c>
    </row>
    <row r="1034">
      <c r="A1034" s="22" t="n"/>
      <c r="B1034" s="23" t="n"/>
      <c r="C1034" s="24" t="n"/>
      <c r="D1034" s="17" t="n"/>
      <c r="E1034" s="17" t="n"/>
      <c r="F1034" s="17" t="n"/>
      <c r="G1034" s="15" t="n"/>
      <c r="H1034" s="25">
        <f>IF(G1034="","",SUMIF(C$2:C1034,"Masuk",G$2:G1034)-SUMIF(C$2:C1034,"Keluar",G$2:G1034))</f>
        <v/>
      </c>
    </row>
    <row r="1035">
      <c r="A1035" s="26" t="n"/>
      <c r="B1035" s="27" t="n"/>
      <c r="C1035" s="28" t="n"/>
      <c r="D1035" s="29" t="n"/>
      <c r="E1035" s="29" t="n"/>
      <c r="F1035" s="29" t="n"/>
      <c r="G1035" s="30" t="n"/>
      <c r="H1035" s="31">
        <f>IF(G1035="","",SUMIF(C$2:C1035,"Masuk",G$2:G1035)-SUMIF(C$2:C1035,"Keluar",G$2:G1035))</f>
        <v/>
      </c>
    </row>
    <row r="1036">
      <c r="A1036" s="22" t="n"/>
      <c r="B1036" s="23" t="n"/>
      <c r="C1036" s="24" t="n"/>
      <c r="D1036" s="17" t="n"/>
      <c r="E1036" s="17" t="n"/>
      <c r="F1036" s="17" t="n"/>
      <c r="G1036" s="15" t="n"/>
      <c r="H1036" s="25">
        <f>IF(G1036="","",SUMIF(C$2:C1036,"Masuk",G$2:G1036)-SUMIF(C$2:C1036,"Keluar",G$2:G1036))</f>
        <v/>
      </c>
    </row>
    <row r="1037">
      <c r="A1037" s="26" t="n"/>
      <c r="B1037" s="27" t="n"/>
      <c r="C1037" s="28" t="n"/>
      <c r="D1037" s="29" t="n"/>
      <c r="E1037" s="29" t="n"/>
      <c r="F1037" s="29" t="n"/>
      <c r="G1037" s="30" t="n"/>
      <c r="H1037" s="31">
        <f>IF(G1037="","",SUMIF(C$2:C1037,"Masuk",G$2:G1037)-SUMIF(C$2:C1037,"Keluar",G$2:G1037))</f>
        <v/>
      </c>
    </row>
    <row r="1038">
      <c r="A1038" s="22" t="n"/>
      <c r="B1038" s="23" t="n"/>
      <c r="C1038" s="24" t="n"/>
      <c r="D1038" s="17" t="n"/>
      <c r="E1038" s="17" t="n"/>
      <c r="F1038" s="17" t="n"/>
      <c r="G1038" s="15" t="n"/>
      <c r="H1038" s="25">
        <f>IF(G1038="","",SUMIF(C$2:C1038,"Masuk",G$2:G1038)-SUMIF(C$2:C1038,"Keluar",G$2:G1038))</f>
        <v/>
      </c>
    </row>
    <row r="1039">
      <c r="A1039" s="26" t="n"/>
      <c r="B1039" s="27" t="n"/>
      <c r="C1039" s="28" t="n"/>
      <c r="D1039" s="29" t="n"/>
      <c r="E1039" s="29" t="n"/>
      <c r="F1039" s="29" t="n"/>
      <c r="G1039" s="30" t="n"/>
      <c r="H1039" s="31">
        <f>IF(G1039="","",SUMIF(C$2:C1039,"Masuk",G$2:G1039)-SUMIF(C$2:C1039,"Keluar",G$2:G1039))</f>
        <v/>
      </c>
    </row>
    <row r="1040">
      <c r="A1040" s="22" t="n"/>
      <c r="B1040" s="23" t="n"/>
      <c r="C1040" s="24" t="n"/>
      <c r="D1040" s="17" t="n"/>
      <c r="E1040" s="17" t="n"/>
      <c r="F1040" s="17" t="n"/>
      <c r="G1040" s="15" t="n"/>
      <c r="H1040" s="25">
        <f>IF(G1040="","",SUMIF(C$2:C1040,"Masuk",G$2:G1040)-SUMIF(C$2:C1040,"Keluar",G$2:G1040))</f>
        <v/>
      </c>
    </row>
    <row r="1041">
      <c r="A1041" s="26" t="n"/>
      <c r="B1041" s="27" t="n"/>
      <c r="C1041" s="28" t="n"/>
      <c r="D1041" s="29" t="n"/>
      <c r="E1041" s="29" t="n"/>
      <c r="F1041" s="29" t="n"/>
      <c r="G1041" s="30" t="n"/>
      <c r="H1041" s="31">
        <f>IF(G1041="","",SUMIF(C$2:C1041,"Masuk",G$2:G1041)-SUMIF(C$2:C1041,"Keluar",G$2:G1041))</f>
        <v/>
      </c>
    </row>
    <row r="1042">
      <c r="A1042" s="22" t="n"/>
      <c r="B1042" s="23" t="n"/>
      <c r="C1042" s="24" t="n"/>
      <c r="D1042" s="17" t="n"/>
      <c r="E1042" s="17" t="n"/>
      <c r="F1042" s="17" t="n"/>
      <c r="G1042" s="15" t="n"/>
      <c r="H1042" s="25">
        <f>IF(G1042="","",SUMIF(C$2:C1042,"Masuk",G$2:G1042)-SUMIF(C$2:C1042,"Keluar",G$2:G1042))</f>
        <v/>
      </c>
    </row>
    <row r="1043">
      <c r="A1043" s="26" t="n"/>
      <c r="B1043" s="27" t="n"/>
      <c r="C1043" s="28" t="n"/>
      <c r="D1043" s="29" t="n"/>
      <c r="E1043" s="29" t="n"/>
      <c r="F1043" s="29" t="n"/>
      <c r="G1043" s="30" t="n"/>
      <c r="H1043" s="31">
        <f>IF(G1043="","",SUMIF(C$2:C1043,"Masuk",G$2:G1043)-SUMIF(C$2:C1043,"Keluar",G$2:G1043))</f>
        <v/>
      </c>
    </row>
    <row r="1044">
      <c r="A1044" s="22" t="n"/>
      <c r="B1044" s="23" t="n"/>
      <c r="C1044" s="24" t="n"/>
      <c r="D1044" s="17" t="n"/>
      <c r="E1044" s="17" t="n"/>
      <c r="F1044" s="17" t="n"/>
      <c r="G1044" s="15" t="n"/>
      <c r="H1044" s="25">
        <f>IF(G1044="","",SUMIF(C$2:C1044,"Masuk",G$2:G1044)-SUMIF(C$2:C1044,"Keluar",G$2:G1044))</f>
        <v/>
      </c>
    </row>
    <row r="1045">
      <c r="A1045" s="26" t="n"/>
      <c r="B1045" s="27" t="n"/>
      <c r="C1045" s="28" t="n"/>
      <c r="D1045" s="29" t="n"/>
      <c r="E1045" s="29" t="n"/>
      <c r="F1045" s="29" t="n"/>
      <c r="G1045" s="30" t="n"/>
      <c r="H1045" s="31">
        <f>IF(G1045="","",SUMIF(C$2:C1045,"Masuk",G$2:G1045)-SUMIF(C$2:C1045,"Keluar",G$2:G1045))</f>
        <v/>
      </c>
    </row>
    <row r="1046">
      <c r="A1046" s="22" t="n"/>
      <c r="B1046" s="23" t="n"/>
      <c r="C1046" s="24" t="n"/>
      <c r="D1046" s="17" t="n"/>
      <c r="E1046" s="17" t="n"/>
      <c r="F1046" s="17" t="n"/>
      <c r="G1046" s="15" t="n"/>
      <c r="H1046" s="25">
        <f>IF(G1046="","",SUMIF(C$2:C1046,"Masuk",G$2:G1046)-SUMIF(C$2:C1046,"Keluar",G$2:G1046))</f>
        <v/>
      </c>
    </row>
    <row r="1047">
      <c r="A1047" s="26" t="n"/>
      <c r="B1047" s="27" t="n"/>
      <c r="C1047" s="28" t="n"/>
      <c r="D1047" s="29" t="n"/>
      <c r="E1047" s="29" t="n"/>
      <c r="F1047" s="29" t="n"/>
      <c r="G1047" s="30" t="n"/>
      <c r="H1047" s="31">
        <f>IF(G1047="","",SUMIF(C$2:C1047,"Masuk",G$2:G1047)-SUMIF(C$2:C1047,"Keluar",G$2:G1047))</f>
        <v/>
      </c>
    </row>
    <row r="1048">
      <c r="A1048" s="22" t="n"/>
      <c r="B1048" s="23" t="n"/>
      <c r="C1048" s="24" t="n"/>
      <c r="D1048" s="17" t="n"/>
      <c r="E1048" s="17" t="n"/>
      <c r="F1048" s="17" t="n"/>
      <c r="G1048" s="15" t="n"/>
      <c r="H1048" s="25">
        <f>IF(G1048="","",SUMIF(C$2:C1048,"Masuk",G$2:G1048)-SUMIF(C$2:C1048,"Keluar",G$2:G1048))</f>
        <v/>
      </c>
    </row>
    <row r="1049">
      <c r="A1049" s="26" t="n"/>
      <c r="B1049" s="27" t="n"/>
      <c r="C1049" s="28" t="n"/>
      <c r="D1049" s="29" t="n"/>
      <c r="E1049" s="29" t="n"/>
      <c r="F1049" s="29" t="n"/>
      <c r="G1049" s="30" t="n"/>
      <c r="H1049" s="31">
        <f>IF(G1049="","",SUMIF(C$2:C1049,"Masuk",G$2:G1049)-SUMIF(C$2:C1049,"Keluar",G$2:G1049))</f>
        <v/>
      </c>
    </row>
    <row r="1050">
      <c r="A1050" s="22" t="n"/>
      <c r="B1050" s="23" t="n"/>
      <c r="C1050" s="24" t="n"/>
      <c r="D1050" s="17" t="n"/>
      <c r="E1050" s="17" t="n"/>
      <c r="F1050" s="17" t="n"/>
      <c r="G1050" s="15" t="n"/>
      <c r="H1050" s="25">
        <f>IF(G1050="","",SUMIF(C$2:C1050,"Masuk",G$2:G1050)-SUMIF(C$2:C1050,"Keluar",G$2:G1050))</f>
        <v/>
      </c>
    </row>
    <row r="1051">
      <c r="A1051" s="26" t="n"/>
      <c r="B1051" s="27" t="n"/>
      <c r="C1051" s="28" t="n"/>
      <c r="D1051" s="29" t="n"/>
      <c r="E1051" s="29" t="n"/>
      <c r="F1051" s="29" t="n"/>
      <c r="G1051" s="30" t="n"/>
      <c r="H1051" s="31">
        <f>IF(G1051="","",SUMIF(C$2:C1051,"Masuk",G$2:G1051)-SUMIF(C$2:C1051,"Keluar",G$2:G1051))</f>
        <v/>
      </c>
    </row>
    <row r="1052">
      <c r="A1052" s="22" t="n"/>
      <c r="B1052" s="23" t="n"/>
      <c r="C1052" s="24" t="n"/>
      <c r="D1052" s="17" t="n"/>
      <c r="E1052" s="17" t="n"/>
      <c r="F1052" s="17" t="n"/>
      <c r="G1052" s="15" t="n"/>
      <c r="H1052" s="25">
        <f>IF(G1052="","",SUMIF(C$2:C1052,"Masuk",G$2:G1052)-SUMIF(C$2:C1052,"Keluar",G$2:G1052))</f>
        <v/>
      </c>
    </row>
    <row r="1053">
      <c r="A1053" s="26" t="n"/>
      <c r="B1053" s="27" t="n"/>
      <c r="C1053" s="28" t="n"/>
      <c r="D1053" s="29" t="n"/>
      <c r="E1053" s="29" t="n"/>
      <c r="F1053" s="29" t="n"/>
      <c r="G1053" s="30" t="n"/>
      <c r="H1053" s="31">
        <f>IF(G1053="","",SUMIF(C$2:C1053,"Masuk",G$2:G1053)-SUMIF(C$2:C1053,"Keluar",G$2:G1053))</f>
        <v/>
      </c>
    </row>
    <row r="1054">
      <c r="A1054" s="22" t="n"/>
      <c r="B1054" s="23" t="n"/>
      <c r="C1054" s="24" t="n"/>
      <c r="D1054" s="17" t="n"/>
      <c r="E1054" s="17" t="n"/>
      <c r="F1054" s="17" t="n"/>
      <c r="G1054" s="15" t="n"/>
      <c r="H1054" s="25">
        <f>IF(G1054="","",SUMIF(C$2:C1054,"Masuk",G$2:G1054)-SUMIF(C$2:C1054,"Keluar",G$2:G1054))</f>
        <v/>
      </c>
    </row>
    <row r="1055">
      <c r="A1055" s="26" t="n"/>
      <c r="B1055" s="27" t="n"/>
      <c r="C1055" s="28" t="n"/>
      <c r="D1055" s="29" t="n"/>
      <c r="E1055" s="29" t="n"/>
      <c r="F1055" s="29" t="n"/>
      <c r="G1055" s="30" t="n"/>
      <c r="H1055" s="31">
        <f>IF(G1055="","",SUMIF(C$2:C1055,"Masuk",G$2:G1055)-SUMIF(C$2:C1055,"Keluar",G$2:G1055))</f>
        <v/>
      </c>
    </row>
    <row r="1056">
      <c r="A1056" s="22" t="n"/>
      <c r="B1056" s="23" t="n"/>
      <c r="C1056" s="24" t="n"/>
      <c r="D1056" s="17" t="n"/>
      <c r="E1056" s="17" t="n"/>
      <c r="F1056" s="17" t="n"/>
      <c r="G1056" s="15" t="n"/>
      <c r="H1056" s="25">
        <f>IF(G1056="","",SUMIF(C$2:C1056,"Masuk",G$2:G1056)-SUMIF(C$2:C1056,"Keluar",G$2:G1056))</f>
        <v/>
      </c>
    </row>
    <row r="1057">
      <c r="A1057" s="26" t="n"/>
      <c r="B1057" s="27" t="n"/>
      <c r="C1057" s="28" t="n"/>
      <c r="D1057" s="29" t="n"/>
      <c r="E1057" s="29" t="n"/>
      <c r="F1057" s="29" t="n"/>
      <c r="G1057" s="30" t="n"/>
      <c r="H1057" s="31">
        <f>IF(G1057="","",SUMIF(C$2:C1057,"Masuk",G$2:G1057)-SUMIF(C$2:C1057,"Keluar",G$2:G1057))</f>
        <v/>
      </c>
    </row>
    <row r="1058">
      <c r="A1058" s="22" t="n"/>
      <c r="B1058" s="23" t="n"/>
      <c r="C1058" s="24" t="n"/>
      <c r="D1058" s="17" t="n"/>
      <c r="E1058" s="17" t="n"/>
      <c r="F1058" s="17" t="n"/>
      <c r="G1058" s="15" t="n"/>
      <c r="H1058" s="25">
        <f>IF(G1058="","",SUMIF(C$2:C1058,"Masuk",G$2:G1058)-SUMIF(C$2:C1058,"Keluar",G$2:G1058))</f>
        <v/>
      </c>
    </row>
    <row r="1059">
      <c r="A1059" s="26" t="n"/>
      <c r="B1059" s="27" t="n"/>
      <c r="C1059" s="28" t="n"/>
      <c r="D1059" s="29" t="n"/>
      <c r="E1059" s="29" t="n"/>
      <c r="F1059" s="29" t="n"/>
      <c r="G1059" s="30" t="n"/>
      <c r="H1059" s="31">
        <f>IF(G1059="","",SUMIF(C$2:C1059,"Masuk",G$2:G1059)-SUMIF(C$2:C1059,"Keluar",G$2:G1059))</f>
        <v/>
      </c>
    </row>
    <row r="1060">
      <c r="A1060" s="22" t="n"/>
      <c r="B1060" s="23" t="n"/>
      <c r="C1060" s="24" t="n"/>
      <c r="D1060" s="17" t="n"/>
      <c r="E1060" s="17" t="n"/>
      <c r="F1060" s="17" t="n"/>
      <c r="G1060" s="15" t="n"/>
      <c r="H1060" s="25">
        <f>IF(G1060="","",SUMIF(C$2:C1060,"Masuk",G$2:G1060)-SUMIF(C$2:C1060,"Keluar",G$2:G1060))</f>
        <v/>
      </c>
    </row>
    <row r="1061">
      <c r="A1061" s="26" t="n"/>
      <c r="B1061" s="27" t="n"/>
      <c r="C1061" s="28" t="n"/>
      <c r="D1061" s="29" t="n"/>
      <c r="E1061" s="29" t="n"/>
      <c r="F1061" s="29" t="n"/>
      <c r="G1061" s="30" t="n"/>
      <c r="H1061" s="31">
        <f>IF(G1061="","",SUMIF(C$2:C1061,"Masuk",G$2:G1061)-SUMIF(C$2:C1061,"Keluar",G$2:G1061))</f>
        <v/>
      </c>
    </row>
    <row r="1062">
      <c r="A1062" s="22" t="n"/>
      <c r="B1062" s="23" t="n"/>
      <c r="C1062" s="24" t="n"/>
      <c r="D1062" s="17" t="n"/>
      <c r="E1062" s="17" t="n"/>
      <c r="F1062" s="17" t="n"/>
      <c r="G1062" s="15" t="n"/>
      <c r="H1062" s="25">
        <f>IF(G1062="","",SUMIF(C$2:C1062,"Masuk",G$2:G1062)-SUMIF(C$2:C1062,"Keluar",G$2:G1062))</f>
        <v/>
      </c>
    </row>
    <row r="1063">
      <c r="A1063" s="26" t="n"/>
      <c r="B1063" s="27" t="n"/>
      <c r="C1063" s="28" t="n"/>
      <c r="D1063" s="29" t="n"/>
      <c r="E1063" s="29" t="n"/>
      <c r="F1063" s="29" t="n"/>
      <c r="G1063" s="30" t="n"/>
      <c r="H1063" s="31">
        <f>IF(G1063="","",SUMIF(C$2:C1063,"Masuk",G$2:G1063)-SUMIF(C$2:C1063,"Keluar",G$2:G1063))</f>
        <v/>
      </c>
    </row>
    <row r="1064">
      <c r="A1064" s="22" t="n"/>
      <c r="B1064" s="23" t="n"/>
      <c r="C1064" s="24" t="n"/>
      <c r="D1064" s="17" t="n"/>
      <c r="E1064" s="17" t="n"/>
      <c r="F1064" s="17" t="n"/>
      <c r="G1064" s="15" t="n"/>
      <c r="H1064" s="25">
        <f>IF(G1064="","",SUMIF(C$2:C1064,"Masuk",G$2:G1064)-SUMIF(C$2:C1064,"Keluar",G$2:G1064))</f>
        <v/>
      </c>
    </row>
    <row r="1065">
      <c r="A1065" s="26" t="n"/>
      <c r="B1065" s="27" t="n"/>
      <c r="C1065" s="28" t="n"/>
      <c r="D1065" s="29" t="n"/>
      <c r="E1065" s="29" t="n"/>
      <c r="F1065" s="29" t="n"/>
      <c r="G1065" s="30" t="n"/>
      <c r="H1065" s="31">
        <f>IF(G1065="","",SUMIF(C$2:C1065,"Masuk",G$2:G1065)-SUMIF(C$2:C1065,"Keluar",G$2:G1065))</f>
        <v/>
      </c>
    </row>
    <row r="1066">
      <c r="A1066" s="22" t="n"/>
      <c r="B1066" s="23" t="n"/>
      <c r="C1066" s="24" t="n"/>
      <c r="D1066" s="17" t="n"/>
      <c r="E1066" s="17" t="n"/>
      <c r="F1066" s="17" t="n"/>
      <c r="G1066" s="15" t="n"/>
      <c r="H1066" s="25">
        <f>IF(G1066="","",SUMIF(C$2:C1066,"Masuk",G$2:G1066)-SUMIF(C$2:C1066,"Keluar",G$2:G1066))</f>
        <v/>
      </c>
    </row>
    <row r="1067">
      <c r="A1067" s="26" t="n"/>
      <c r="B1067" s="27" t="n"/>
      <c r="C1067" s="28" t="n"/>
      <c r="D1067" s="29" t="n"/>
      <c r="E1067" s="29" t="n"/>
      <c r="F1067" s="29" t="n"/>
      <c r="G1067" s="30" t="n"/>
      <c r="H1067" s="31">
        <f>IF(G1067="","",SUMIF(C$2:C1067,"Masuk",G$2:G1067)-SUMIF(C$2:C1067,"Keluar",G$2:G1067))</f>
        <v/>
      </c>
    </row>
    <row r="1068">
      <c r="A1068" s="22" t="n"/>
      <c r="B1068" s="23" t="n"/>
      <c r="C1068" s="24" t="n"/>
      <c r="D1068" s="17" t="n"/>
      <c r="E1068" s="17" t="n"/>
      <c r="F1068" s="17" t="n"/>
      <c r="G1068" s="15" t="n"/>
      <c r="H1068" s="25">
        <f>IF(G1068="","",SUMIF(C$2:C1068,"Masuk",G$2:G1068)-SUMIF(C$2:C1068,"Keluar",G$2:G1068))</f>
        <v/>
      </c>
    </row>
    <row r="1069">
      <c r="A1069" s="26" t="n"/>
      <c r="B1069" s="27" t="n"/>
      <c r="C1069" s="28" t="n"/>
      <c r="D1069" s="29" t="n"/>
      <c r="E1069" s="29" t="n"/>
      <c r="F1069" s="29" t="n"/>
      <c r="G1069" s="30" t="n"/>
      <c r="H1069" s="31">
        <f>IF(G1069="","",SUMIF(C$2:C1069,"Masuk",G$2:G1069)-SUMIF(C$2:C1069,"Keluar",G$2:G1069))</f>
        <v/>
      </c>
    </row>
    <row r="1070">
      <c r="A1070" s="22" t="n"/>
      <c r="B1070" s="23" t="n"/>
      <c r="C1070" s="24" t="n"/>
      <c r="D1070" s="17" t="n"/>
      <c r="E1070" s="17" t="n"/>
      <c r="F1070" s="17" t="n"/>
      <c r="G1070" s="15" t="n"/>
      <c r="H1070" s="25">
        <f>IF(G1070="","",SUMIF(C$2:C1070,"Masuk",G$2:G1070)-SUMIF(C$2:C1070,"Keluar",G$2:G1070))</f>
        <v/>
      </c>
    </row>
    <row r="1071">
      <c r="A1071" s="26" t="n"/>
      <c r="B1071" s="27" t="n"/>
      <c r="C1071" s="28" t="n"/>
      <c r="D1071" s="29" t="n"/>
      <c r="E1071" s="29" t="n"/>
      <c r="F1071" s="29" t="n"/>
      <c r="G1071" s="30" t="n"/>
      <c r="H1071" s="31">
        <f>IF(G1071="","",SUMIF(C$2:C1071,"Masuk",G$2:G1071)-SUMIF(C$2:C1071,"Keluar",G$2:G1071))</f>
        <v/>
      </c>
    </row>
    <row r="1072">
      <c r="A1072" s="22" t="n"/>
      <c r="B1072" s="23" t="n"/>
      <c r="C1072" s="24" t="n"/>
      <c r="D1072" s="17" t="n"/>
      <c r="E1072" s="17" t="n"/>
      <c r="F1072" s="17" t="n"/>
      <c r="G1072" s="15" t="n"/>
      <c r="H1072" s="25">
        <f>IF(G1072="","",SUMIF(C$2:C1072,"Masuk",G$2:G1072)-SUMIF(C$2:C1072,"Keluar",G$2:G1072))</f>
        <v/>
      </c>
    </row>
    <row r="1073">
      <c r="A1073" s="26" t="n"/>
      <c r="B1073" s="27" t="n"/>
      <c r="C1073" s="28" t="n"/>
      <c r="D1073" s="29" t="n"/>
      <c r="E1073" s="29" t="n"/>
      <c r="F1073" s="29" t="n"/>
      <c r="G1073" s="30" t="n"/>
      <c r="H1073" s="31">
        <f>IF(G1073="","",SUMIF(C$2:C1073,"Masuk",G$2:G1073)-SUMIF(C$2:C1073,"Keluar",G$2:G1073))</f>
        <v/>
      </c>
    </row>
    <row r="1074">
      <c r="A1074" s="22" t="n"/>
      <c r="B1074" s="23" t="n"/>
      <c r="C1074" s="24" t="n"/>
      <c r="D1074" s="17" t="n"/>
      <c r="E1074" s="17" t="n"/>
      <c r="F1074" s="17" t="n"/>
      <c r="G1074" s="15" t="n"/>
      <c r="H1074" s="25">
        <f>IF(G1074="","",SUMIF(C$2:C1074,"Masuk",G$2:G1074)-SUMIF(C$2:C1074,"Keluar",G$2:G1074))</f>
        <v/>
      </c>
    </row>
    <row r="1075">
      <c r="A1075" s="26" t="n"/>
      <c r="B1075" s="27" t="n"/>
      <c r="C1075" s="28" t="n"/>
      <c r="D1075" s="29" t="n"/>
      <c r="E1075" s="29" t="n"/>
      <c r="F1075" s="29" t="n"/>
      <c r="G1075" s="30" t="n"/>
      <c r="H1075" s="31">
        <f>IF(G1075="","",SUMIF(C$2:C1075,"Masuk",G$2:G1075)-SUMIF(C$2:C1075,"Keluar",G$2:G1075))</f>
        <v/>
      </c>
    </row>
    <row r="1076">
      <c r="A1076" s="22" t="n"/>
      <c r="B1076" s="23" t="n"/>
      <c r="C1076" s="24" t="n"/>
      <c r="D1076" s="17" t="n"/>
      <c r="E1076" s="17" t="n"/>
      <c r="F1076" s="17" t="n"/>
      <c r="G1076" s="15" t="n"/>
      <c r="H1076" s="25">
        <f>IF(G1076="","",SUMIF(C$2:C1076,"Masuk",G$2:G1076)-SUMIF(C$2:C1076,"Keluar",G$2:G1076))</f>
        <v/>
      </c>
    </row>
    <row r="1077">
      <c r="A1077" s="26" t="n"/>
      <c r="B1077" s="27" t="n"/>
      <c r="C1077" s="28" t="n"/>
      <c r="D1077" s="29" t="n"/>
      <c r="E1077" s="29" t="n"/>
      <c r="F1077" s="29" t="n"/>
      <c r="G1077" s="30" t="n"/>
      <c r="H1077" s="31">
        <f>IF(G1077="","",SUMIF(C$2:C1077,"Masuk",G$2:G1077)-SUMIF(C$2:C1077,"Keluar",G$2:G1077))</f>
        <v/>
      </c>
    </row>
    <row r="1078">
      <c r="A1078" s="22" t="n"/>
      <c r="B1078" s="23" t="n"/>
      <c r="C1078" s="24" t="n"/>
      <c r="D1078" s="17" t="n"/>
      <c r="E1078" s="17" t="n"/>
      <c r="F1078" s="17" t="n"/>
      <c r="G1078" s="15" t="n"/>
      <c r="H1078" s="25">
        <f>IF(G1078="","",SUMIF(C$2:C1078,"Masuk",G$2:G1078)-SUMIF(C$2:C1078,"Keluar",G$2:G1078))</f>
        <v/>
      </c>
    </row>
    <row r="1079">
      <c r="A1079" s="26" t="n"/>
      <c r="B1079" s="27" t="n"/>
      <c r="C1079" s="28" t="n"/>
      <c r="D1079" s="29" t="n"/>
      <c r="E1079" s="29" t="n"/>
      <c r="F1079" s="29" t="n"/>
      <c r="G1079" s="30" t="n"/>
      <c r="H1079" s="31">
        <f>IF(G1079="","",SUMIF(C$2:C1079,"Masuk",G$2:G1079)-SUMIF(C$2:C1079,"Keluar",G$2:G1079))</f>
        <v/>
      </c>
    </row>
    <row r="1080">
      <c r="A1080" s="22" t="n"/>
      <c r="B1080" s="23" t="n"/>
      <c r="C1080" s="24" t="n"/>
      <c r="D1080" s="17" t="n"/>
      <c r="E1080" s="17" t="n"/>
      <c r="F1080" s="17" t="n"/>
      <c r="G1080" s="15" t="n"/>
      <c r="H1080" s="25">
        <f>IF(G1080="","",SUMIF(C$2:C1080,"Masuk",G$2:G1080)-SUMIF(C$2:C1080,"Keluar",G$2:G1080))</f>
        <v/>
      </c>
    </row>
    <row r="1081">
      <c r="A1081" s="26" t="n"/>
      <c r="B1081" s="27" t="n"/>
      <c r="C1081" s="28" t="n"/>
      <c r="D1081" s="29" t="n"/>
      <c r="E1081" s="29" t="n"/>
      <c r="F1081" s="29" t="n"/>
      <c r="G1081" s="30" t="n"/>
      <c r="H1081" s="31">
        <f>IF(G1081="","",SUMIF(C$2:C1081,"Masuk",G$2:G1081)-SUMIF(C$2:C1081,"Keluar",G$2:G1081))</f>
        <v/>
      </c>
    </row>
    <row r="1082">
      <c r="A1082" s="22" t="n"/>
      <c r="B1082" s="23" t="n"/>
      <c r="C1082" s="24" t="n"/>
      <c r="D1082" s="17" t="n"/>
      <c r="E1082" s="17" t="n"/>
      <c r="F1082" s="17" t="n"/>
      <c r="G1082" s="15" t="n"/>
      <c r="H1082" s="25">
        <f>IF(G1082="","",SUMIF(C$2:C1082,"Masuk",G$2:G1082)-SUMIF(C$2:C1082,"Keluar",G$2:G1082))</f>
        <v/>
      </c>
    </row>
    <row r="1083">
      <c r="A1083" s="26" t="n"/>
      <c r="B1083" s="27" t="n"/>
      <c r="C1083" s="28" t="n"/>
      <c r="D1083" s="29" t="n"/>
      <c r="E1083" s="29" t="n"/>
      <c r="F1083" s="29" t="n"/>
      <c r="G1083" s="30" t="n"/>
      <c r="H1083" s="31">
        <f>IF(G1083="","",SUMIF(C$2:C1083,"Masuk",G$2:G1083)-SUMIF(C$2:C1083,"Keluar",G$2:G1083))</f>
        <v/>
      </c>
    </row>
    <row r="1084">
      <c r="A1084" s="22" t="n"/>
      <c r="B1084" s="23" t="n"/>
      <c r="C1084" s="24" t="n"/>
      <c r="D1084" s="17" t="n"/>
      <c r="E1084" s="17" t="n"/>
      <c r="F1084" s="17" t="n"/>
      <c r="G1084" s="15" t="n"/>
      <c r="H1084" s="25">
        <f>IF(G1084="","",SUMIF(C$2:C1084,"Masuk",G$2:G1084)-SUMIF(C$2:C1084,"Keluar",G$2:G1084))</f>
        <v/>
      </c>
    </row>
    <row r="1085">
      <c r="A1085" s="26" t="n"/>
      <c r="B1085" s="27" t="n"/>
      <c r="C1085" s="28" t="n"/>
      <c r="D1085" s="29" t="n"/>
      <c r="E1085" s="29" t="n"/>
      <c r="F1085" s="29" t="n"/>
      <c r="G1085" s="30" t="n"/>
      <c r="H1085" s="31">
        <f>IF(G1085="","",SUMIF(C$2:C1085,"Masuk",G$2:G1085)-SUMIF(C$2:C1085,"Keluar",G$2:G1085))</f>
        <v/>
      </c>
    </row>
    <row r="1086">
      <c r="A1086" s="22" t="n"/>
      <c r="B1086" s="23" t="n"/>
      <c r="C1086" s="24" t="n"/>
      <c r="D1086" s="17" t="n"/>
      <c r="E1086" s="17" t="n"/>
      <c r="F1086" s="17" t="n"/>
      <c r="G1086" s="15" t="n"/>
      <c r="H1086" s="25">
        <f>IF(G1086="","",SUMIF(C$2:C1086,"Masuk",G$2:G1086)-SUMIF(C$2:C1086,"Keluar",G$2:G1086))</f>
        <v/>
      </c>
    </row>
    <row r="1087">
      <c r="A1087" s="26" t="n"/>
      <c r="B1087" s="27" t="n"/>
      <c r="C1087" s="28" t="n"/>
      <c r="D1087" s="29" t="n"/>
      <c r="E1087" s="29" t="n"/>
      <c r="F1087" s="29" t="n"/>
      <c r="G1087" s="30" t="n"/>
      <c r="H1087" s="31">
        <f>IF(G1087="","",SUMIF(C$2:C1087,"Masuk",G$2:G1087)-SUMIF(C$2:C1087,"Keluar",G$2:G1087))</f>
        <v/>
      </c>
    </row>
    <row r="1088">
      <c r="A1088" s="22" t="n"/>
      <c r="B1088" s="23" t="n"/>
      <c r="C1088" s="24" t="n"/>
      <c r="D1088" s="17" t="n"/>
      <c r="E1088" s="17" t="n"/>
      <c r="F1088" s="17" t="n"/>
      <c r="G1088" s="15" t="n"/>
      <c r="H1088" s="25">
        <f>IF(G1088="","",SUMIF(C$2:C1088,"Masuk",G$2:G1088)-SUMIF(C$2:C1088,"Keluar",G$2:G1088))</f>
        <v/>
      </c>
    </row>
    <row r="1089">
      <c r="A1089" s="26" t="n"/>
      <c r="B1089" s="27" t="n"/>
      <c r="C1089" s="28" t="n"/>
      <c r="D1089" s="29" t="n"/>
      <c r="E1089" s="29" t="n"/>
      <c r="F1089" s="29" t="n"/>
      <c r="G1089" s="30" t="n"/>
      <c r="H1089" s="31">
        <f>IF(G1089="","",SUMIF(C$2:C1089,"Masuk",G$2:G1089)-SUMIF(C$2:C1089,"Keluar",G$2:G1089))</f>
        <v/>
      </c>
    </row>
    <row r="1090">
      <c r="A1090" s="22" t="n"/>
      <c r="B1090" s="23" t="n"/>
      <c r="C1090" s="24" t="n"/>
      <c r="D1090" s="17" t="n"/>
      <c r="E1090" s="17" t="n"/>
      <c r="F1090" s="17" t="n"/>
      <c r="G1090" s="15" t="n"/>
      <c r="H1090" s="25">
        <f>IF(G1090="","",SUMIF(C$2:C1090,"Masuk",G$2:G1090)-SUMIF(C$2:C1090,"Keluar",G$2:G1090))</f>
        <v/>
      </c>
    </row>
    <row r="1091">
      <c r="A1091" s="26" t="n"/>
      <c r="B1091" s="27" t="n"/>
      <c r="C1091" s="28" t="n"/>
      <c r="D1091" s="29" t="n"/>
      <c r="E1091" s="29" t="n"/>
      <c r="F1091" s="29" t="n"/>
      <c r="G1091" s="30" t="n"/>
      <c r="H1091" s="31">
        <f>IF(G1091="","",SUMIF(C$2:C1091,"Masuk",G$2:G1091)-SUMIF(C$2:C1091,"Keluar",G$2:G1091))</f>
        <v/>
      </c>
    </row>
    <row r="1092">
      <c r="A1092" s="22" t="n"/>
      <c r="B1092" s="23" t="n"/>
      <c r="C1092" s="24" t="n"/>
      <c r="D1092" s="17" t="n"/>
      <c r="E1092" s="17" t="n"/>
      <c r="F1092" s="17" t="n"/>
      <c r="G1092" s="15" t="n"/>
      <c r="H1092" s="25">
        <f>IF(G1092="","",SUMIF(C$2:C1092,"Masuk",G$2:G1092)-SUMIF(C$2:C1092,"Keluar",G$2:G1092))</f>
        <v/>
      </c>
    </row>
    <row r="1093">
      <c r="A1093" s="26" t="n"/>
      <c r="B1093" s="27" t="n"/>
      <c r="C1093" s="28" t="n"/>
      <c r="D1093" s="29" t="n"/>
      <c r="E1093" s="29" t="n"/>
      <c r="F1093" s="29" t="n"/>
      <c r="G1093" s="30" t="n"/>
      <c r="H1093" s="31">
        <f>IF(G1093="","",SUMIF(C$2:C1093,"Masuk",G$2:G1093)-SUMIF(C$2:C1093,"Keluar",G$2:G1093))</f>
        <v/>
      </c>
    </row>
    <row r="1094">
      <c r="A1094" s="22" t="n"/>
      <c r="B1094" s="23" t="n"/>
      <c r="C1094" s="24" t="n"/>
      <c r="D1094" s="17" t="n"/>
      <c r="E1094" s="17" t="n"/>
      <c r="F1094" s="17" t="n"/>
      <c r="G1094" s="15" t="n"/>
      <c r="H1094" s="25">
        <f>IF(G1094="","",SUMIF(C$2:C1094,"Masuk",G$2:G1094)-SUMIF(C$2:C1094,"Keluar",G$2:G1094))</f>
        <v/>
      </c>
    </row>
    <row r="1095">
      <c r="A1095" s="26" t="n"/>
      <c r="B1095" s="27" t="n"/>
      <c r="C1095" s="28" t="n"/>
      <c r="D1095" s="29" t="n"/>
      <c r="E1095" s="29" t="n"/>
      <c r="F1095" s="29" t="n"/>
      <c r="G1095" s="30" t="n"/>
      <c r="H1095" s="31">
        <f>IF(G1095="","",SUMIF(C$2:C1095,"Masuk",G$2:G1095)-SUMIF(C$2:C1095,"Keluar",G$2:G1095))</f>
        <v/>
      </c>
    </row>
    <row r="1096">
      <c r="A1096" s="22" t="n"/>
      <c r="B1096" s="23" t="n"/>
      <c r="C1096" s="24" t="n"/>
      <c r="D1096" s="17" t="n"/>
      <c r="E1096" s="17" t="n"/>
      <c r="F1096" s="17" t="n"/>
      <c r="G1096" s="15" t="n"/>
      <c r="H1096" s="25">
        <f>IF(G1096="","",SUMIF(C$2:C1096,"Masuk",G$2:G1096)-SUMIF(C$2:C1096,"Keluar",G$2:G1096))</f>
        <v/>
      </c>
    </row>
    <row r="1097">
      <c r="A1097" s="26" t="n"/>
      <c r="B1097" s="27" t="n"/>
      <c r="C1097" s="28" t="n"/>
      <c r="D1097" s="29" t="n"/>
      <c r="E1097" s="29" t="n"/>
      <c r="F1097" s="29" t="n"/>
      <c r="G1097" s="30" t="n"/>
      <c r="H1097" s="31">
        <f>IF(G1097="","",SUMIF(C$2:C1097,"Masuk",G$2:G1097)-SUMIF(C$2:C1097,"Keluar",G$2:G1097))</f>
        <v/>
      </c>
    </row>
    <row r="1098">
      <c r="A1098" s="22" t="n"/>
      <c r="B1098" s="23" t="n"/>
      <c r="C1098" s="24" t="n"/>
      <c r="D1098" s="17" t="n"/>
      <c r="E1098" s="17" t="n"/>
      <c r="F1098" s="17" t="n"/>
      <c r="G1098" s="15" t="n"/>
      <c r="H1098" s="25">
        <f>IF(G1098="","",SUMIF(C$2:C1098,"Masuk",G$2:G1098)-SUMIF(C$2:C1098,"Keluar",G$2:G1098))</f>
        <v/>
      </c>
    </row>
    <row r="1099">
      <c r="A1099" s="26" t="n"/>
      <c r="B1099" s="27" t="n"/>
      <c r="C1099" s="28" t="n"/>
      <c r="D1099" s="29" t="n"/>
      <c r="E1099" s="29" t="n"/>
      <c r="F1099" s="29" t="n"/>
      <c r="G1099" s="30" t="n"/>
      <c r="H1099" s="31">
        <f>IF(G1099="","",SUMIF(C$2:C1099,"Masuk",G$2:G1099)-SUMIF(C$2:C1099,"Keluar",G$2:G1099))</f>
        <v/>
      </c>
    </row>
    <row r="1100">
      <c r="A1100" s="22" t="n"/>
      <c r="B1100" s="23" t="n"/>
      <c r="C1100" s="24" t="n"/>
      <c r="D1100" s="17" t="n"/>
      <c r="E1100" s="17" t="n"/>
      <c r="F1100" s="17" t="n"/>
      <c r="G1100" s="15" t="n"/>
      <c r="H1100" s="25">
        <f>IF(G1100="","",SUMIF(C$2:C1100,"Masuk",G$2:G1100)-SUMIF(C$2:C1100,"Keluar",G$2:G1100))</f>
        <v/>
      </c>
    </row>
    <row r="1101">
      <c r="A1101" s="26" t="n"/>
      <c r="B1101" s="27" t="n"/>
      <c r="C1101" s="28" t="n"/>
      <c r="D1101" s="29" t="n"/>
      <c r="E1101" s="29" t="n"/>
      <c r="F1101" s="29" t="n"/>
      <c r="G1101" s="30" t="n"/>
      <c r="H1101" s="31">
        <f>IF(G1101="","",SUMIF(C$2:C1101,"Masuk",G$2:G1101)-SUMIF(C$2:C1101,"Keluar",G$2:G1101))</f>
        <v/>
      </c>
    </row>
    <row r="1102">
      <c r="A1102" s="22" t="n"/>
      <c r="B1102" s="23" t="n"/>
      <c r="C1102" s="24" t="n"/>
      <c r="D1102" s="17" t="n"/>
      <c r="E1102" s="17" t="n"/>
      <c r="F1102" s="17" t="n"/>
      <c r="G1102" s="15" t="n"/>
      <c r="H1102" s="25">
        <f>IF(G1102="","",SUMIF(C$2:C1102,"Masuk",G$2:G1102)-SUMIF(C$2:C1102,"Keluar",G$2:G1102))</f>
        <v/>
      </c>
    </row>
    <row r="1103">
      <c r="A1103" s="26" t="n"/>
      <c r="B1103" s="27" t="n"/>
      <c r="C1103" s="28" t="n"/>
      <c r="D1103" s="29" t="n"/>
      <c r="E1103" s="29" t="n"/>
      <c r="F1103" s="29" t="n"/>
      <c r="G1103" s="30" t="n"/>
      <c r="H1103" s="31">
        <f>IF(G1103="","",SUMIF(C$2:C1103,"Masuk",G$2:G1103)-SUMIF(C$2:C1103,"Keluar",G$2:G1103))</f>
        <v/>
      </c>
    </row>
    <row r="1104">
      <c r="A1104" s="22" t="n"/>
      <c r="B1104" s="23" t="n"/>
      <c r="C1104" s="24" t="n"/>
      <c r="D1104" s="17" t="n"/>
      <c r="E1104" s="17" t="n"/>
      <c r="F1104" s="17" t="n"/>
      <c r="G1104" s="15" t="n"/>
      <c r="H1104" s="25">
        <f>IF(G1104="","",SUMIF(C$2:C1104,"Masuk",G$2:G1104)-SUMIF(C$2:C1104,"Keluar",G$2:G1104))</f>
        <v/>
      </c>
    </row>
    <row r="1105">
      <c r="A1105" s="26" t="n"/>
      <c r="B1105" s="27" t="n"/>
      <c r="C1105" s="28" t="n"/>
      <c r="D1105" s="29" t="n"/>
      <c r="E1105" s="29" t="n"/>
      <c r="F1105" s="29" t="n"/>
      <c r="G1105" s="30" t="n"/>
      <c r="H1105" s="31">
        <f>IF(G1105="","",SUMIF(C$2:C1105,"Masuk",G$2:G1105)-SUMIF(C$2:C1105,"Keluar",G$2:G1105))</f>
        <v/>
      </c>
    </row>
    <row r="1106">
      <c r="A1106" s="22" t="n"/>
      <c r="B1106" s="23" t="n"/>
      <c r="C1106" s="24" t="n"/>
      <c r="D1106" s="17" t="n"/>
      <c r="E1106" s="17" t="n"/>
      <c r="F1106" s="17" t="n"/>
      <c r="G1106" s="15" t="n"/>
      <c r="H1106" s="25">
        <f>IF(G1106="","",SUMIF(C$2:C1106,"Masuk",G$2:G1106)-SUMIF(C$2:C1106,"Keluar",G$2:G1106))</f>
        <v/>
      </c>
    </row>
    <row r="1107">
      <c r="A1107" s="26" t="n"/>
      <c r="B1107" s="27" t="n"/>
      <c r="C1107" s="28" t="n"/>
      <c r="D1107" s="29" t="n"/>
      <c r="E1107" s="29" t="n"/>
      <c r="F1107" s="29" t="n"/>
      <c r="G1107" s="30" t="n"/>
      <c r="H1107" s="31">
        <f>IF(G1107="","",SUMIF(C$2:C1107,"Masuk",G$2:G1107)-SUMIF(C$2:C1107,"Keluar",G$2:G1107))</f>
        <v/>
      </c>
    </row>
    <row r="1108">
      <c r="A1108" s="22" t="n"/>
      <c r="B1108" s="23" t="n"/>
      <c r="C1108" s="24" t="n"/>
      <c r="D1108" s="17" t="n"/>
      <c r="E1108" s="17" t="n"/>
      <c r="F1108" s="17" t="n"/>
      <c r="G1108" s="15" t="n"/>
      <c r="H1108" s="25">
        <f>IF(G1108="","",SUMIF(C$2:C1108,"Masuk",G$2:G1108)-SUMIF(C$2:C1108,"Keluar",G$2:G1108))</f>
        <v/>
      </c>
    </row>
    <row r="1109">
      <c r="A1109" s="26" t="n"/>
      <c r="B1109" s="27" t="n"/>
      <c r="C1109" s="28" t="n"/>
      <c r="D1109" s="29" t="n"/>
      <c r="E1109" s="29" t="n"/>
      <c r="F1109" s="29" t="n"/>
      <c r="G1109" s="30" t="n"/>
      <c r="H1109" s="31">
        <f>IF(G1109="","",SUMIF(C$2:C1109,"Masuk",G$2:G1109)-SUMIF(C$2:C1109,"Keluar",G$2:G1109))</f>
        <v/>
      </c>
    </row>
    <row r="1110">
      <c r="A1110" s="22" t="n"/>
      <c r="B1110" s="23" t="n"/>
      <c r="C1110" s="24" t="n"/>
      <c r="D1110" s="17" t="n"/>
      <c r="E1110" s="17" t="n"/>
      <c r="F1110" s="17" t="n"/>
      <c r="G1110" s="15" t="n"/>
      <c r="H1110" s="25">
        <f>IF(G1110="","",SUMIF(C$2:C1110,"Masuk",G$2:G1110)-SUMIF(C$2:C1110,"Keluar",G$2:G1110))</f>
        <v/>
      </c>
    </row>
    <row r="1111">
      <c r="A1111" s="26" t="n"/>
      <c r="B1111" s="27" t="n"/>
      <c r="C1111" s="28" t="n"/>
      <c r="D1111" s="29" t="n"/>
      <c r="E1111" s="29" t="n"/>
      <c r="F1111" s="29" t="n"/>
      <c r="G1111" s="30" t="n"/>
      <c r="H1111" s="31">
        <f>IF(G1111="","",SUMIF(C$2:C1111,"Masuk",G$2:G1111)-SUMIF(C$2:C1111,"Keluar",G$2:G1111))</f>
        <v/>
      </c>
    </row>
    <row r="1112">
      <c r="A1112" s="22" t="n"/>
      <c r="B1112" s="23" t="n"/>
      <c r="C1112" s="24" t="n"/>
      <c r="D1112" s="17" t="n"/>
      <c r="E1112" s="17" t="n"/>
      <c r="F1112" s="17" t="n"/>
      <c r="G1112" s="15" t="n"/>
      <c r="H1112" s="25">
        <f>IF(G1112="","",SUMIF(C$2:C1112,"Masuk",G$2:G1112)-SUMIF(C$2:C1112,"Keluar",G$2:G1112))</f>
        <v/>
      </c>
    </row>
    <row r="1113">
      <c r="A1113" s="26" t="n"/>
      <c r="B1113" s="27" t="n"/>
      <c r="C1113" s="28" t="n"/>
      <c r="D1113" s="29" t="n"/>
      <c r="E1113" s="29" t="n"/>
      <c r="F1113" s="29" t="n"/>
      <c r="G1113" s="30" t="n"/>
      <c r="H1113" s="31">
        <f>IF(G1113="","",SUMIF(C$2:C1113,"Masuk",G$2:G1113)-SUMIF(C$2:C1113,"Keluar",G$2:G1113))</f>
        <v/>
      </c>
    </row>
    <row r="1114">
      <c r="A1114" s="22" t="n"/>
      <c r="B1114" s="23" t="n"/>
      <c r="C1114" s="24" t="n"/>
      <c r="D1114" s="17" t="n"/>
      <c r="E1114" s="17" t="n"/>
      <c r="F1114" s="17" t="n"/>
      <c r="G1114" s="15" t="n"/>
      <c r="H1114" s="25">
        <f>IF(G1114="","",SUMIF(C$2:C1114,"Masuk",G$2:G1114)-SUMIF(C$2:C1114,"Keluar",G$2:G1114))</f>
        <v/>
      </c>
    </row>
    <row r="1115">
      <c r="A1115" s="26" t="n"/>
      <c r="B1115" s="27" t="n"/>
      <c r="C1115" s="28" t="n"/>
      <c r="D1115" s="29" t="n"/>
      <c r="E1115" s="29" t="n"/>
      <c r="F1115" s="29" t="n"/>
      <c r="G1115" s="30" t="n"/>
      <c r="H1115" s="31">
        <f>IF(G1115="","",SUMIF(C$2:C1115,"Masuk",G$2:G1115)-SUMIF(C$2:C1115,"Keluar",G$2:G1115))</f>
        <v/>
      </c>
    </row>
    <row r="1116">
      <c r="A1116" s="22" t="n"/>
      <c r="B1116" s="23" t="n"/>
      <c r="C1116" s="24" t="n"/>
      <c r="D1116" s="17" t="n"/>
      <c r="E1116" s="17" t="n"/>
      <c r="F1116" s="17" t="n"/>
      <c r="G1116" s="15" t="n"/>
      <c r="H1116" s="25">
        <f>IF(G1116="","",SUMIF(C$2:C1116,"Masuk",G$2:G1116)-SUMIF(C$2:C1116,"Keluar",G$2:G1116))</f>
        <v/>
      </c>
    </row>
    <row r="1117">
      <c r="A1117" s="26" t="n"/>
      <c r="B1117" s="27" t="n"/>
      <c r="C1117" s="28" t="n"/>
      <c r="D1117" s="29" t="n"/>
      <c r="E1117" s="29" t="n"/>
      <c r="F1117" s="29" t="n"/>
      <c r="G1117" s="30" t="n"/>
      <c r="H1117" s="31">
        <f>IF(G1117="","",SUMIF(C$2:C1117,"Masuk",G$2:G1117)-SUMIF(C$2:C1117,"Keluar",G$2:G1117))</f>
        <v/>
      </c>
    </row>
    <row r="1118">
      <c r="A1118" s="22" t="n"/>
      <c r="B1118" s="23" t="n"/>
      <c r="C1118" s="24" t="n"/>
      <c r="D1118" s="17" t="n"/>
      <c r="E1118" s="17" t="n"/>
      <c r="F1118" s="17" t="n"/>
      <c r="G1118" s="15" t="n"/>
      <c r="H1118" s="25">
        <f>IF(G1118="","",SUMIF(C$2:C1118,"Masuk",G$2:G1118)-SUMIF(C$2:C1118,"Keluar",G$2:G1118))</f>
        <v/>
      </c>
    </row>
    <row r="1119">
      <c r="A1119" s="26" t="n"/>
      <c r="B1119" s="27" t="n"/>
      <c r="C1119" s="28" t="n"/>
      <c r="D1119" s="29" t="n"/>
      <c r="E1119" s="29" t="n"/>
      <c r="F1119" s="29" t="n"/>
      <c r="G1119" s="30" t="n"/>
      <c r="H1119" s="31">
        <f>IF(G1119="","",SUMIF(C$2:C1119,"Masuk",G$2:G1119)-SUMIF(C$2:C1119,"Keluar",G$2:G1119))</f>
        <v/>
      </c>
    </row>
    <row r="1120">
      <c r="A1120" s="22" t="n"/>
      <c r="B1120" s="23" t="n"/>
      <c r="C1120" s="24" t="n"/>
      <c r="D1120" s="17" t="n"/>
      <c r="E1120" s="17" t="n"/>
      <c r="F1120" s="17" t="n"/>
      <c r="G1120" s="15" t="n"/>
      <c r="H1120" s="25">
        <f>IF(G1120="","",SUMIF(C$2:C1120,"Masuk",G$2:G1120)-SUMIF(C$2:C1120,"Keluar",G$2:G1120))</f>
        <v/>
      </c>
    </row>
    <row r="1121">
      <c r="A1121" s="26" t="n"/>
      <c r="B1121" s="27" t="n"/>
      <c r="C1121" s="28" t="n"/>
      <c r="D1121" s="29" t="n"/>
      <c r="E1121" s="29" t="n"/>
      <c r="F1121" s="29" t="n"/>
      <c r="G1121" s="30" t="n"/>
      <c r="H1121" s="31">
        <f>IF(G1121="","",SUMIF(C$2:C1121,"Masuk",G$2:G1121)-SUMIF(C$2:C1121,"Keluar",G$2:G1121))</f>
        <v/>
      </c>
    </row>
    <row r="1122">
      <c r="A1122" s="22" t="n"/>
      <c r="B1122" s="23" t="n"/>
      <c r="C1122" s="24" t="n"/>
      <c r="D1122" s="17" t="n"/>
      <c r="E1122" s="17" t="n"/>
      <c r="F1122" s="17" t="n"/>
      <c r="G1122" s="15" t="n"/>
      <c r="H1122" s="25">
        <f>IF(G1122="","",SUMIF(C$2:C1122,"Masuk",G$2:G1122)-SUMIF(C$2:C1122,"Keluar",G$2:G1122))</f>
        <v/>
      </c>
    </row>
    <row r="1123">
      <c r="A1123" s="26" t="n"/>
      <c r="B1123" s="27" t="n"/>
      <c r="C1123" s="28" t="n"/>
      <c r="D1123" s="29" t="n"/>
      <c r="E1123" s="29" t="n"/>
      <c r="F1123" s="29" t="n"/>
      <c r="G1123" s="30" t="n"/>
      <c r="H1123" s="31">
        <f>IF(G1123="","",SUMIF(C$2:C1123,"Masuk",G$2:G1123)-SUMIF(C$2:C1123,"Keluar",G$2:G1123))</f>
        <v/>
      </c>
    </row>
    <row r="1124">
      <c r="A1124" s="22" t="n"/>
      <c r="B1124" s="23" t="n"/>
      <c r="C1124" s="24" t="n"/>
      <c r="D1124" s="17" t="n"/>
      <c r="E1124" s="17" t="n"/>
      <c r="F1124" s="17" t="n"/>
      <c r="G1124" s="15" t="n"/>
      <c r="H1124" s="25">
        <f>IF(G1124="","",SUMIF(C$2:C1124,"Masuk",G$2:G1124)-SUMIF(C$2:C1124,"Keluar",G$2:G1124))</f>
        <v/>
      </c>
    </row>
    <row r="1125">
      <c r="A1125" s="26" t="n"/>
      <c r="B1125" s="27" t="n"/>
      <c r="C1125" s="28" t="n"/>
      <c r="D1125" s="29" t="n"/>
      <c r="E1125" s="29" t="n"/>
      <c r="F1125" s="29" t="n"/>
      <c r="G1125" s="30" t="n"/>
      <c r="H1125" s="31">
        <f>IF(G1125="","",SUMIF(C$2:C1125,"Masuk",G$2:G1125)-SUMIF(C$2:C1125,"Keluar",G$2:G1125))</f>
        <v/>
      </c>
    </row>
    <row r="1126">
      <c r="A1126" s="22" t="n"/>
      <c r="B1126" s="23" t="n"/>
      <c r="C1126" s="24" t="n"/>
      <c r="D1126" s="17" t="n"/>
      <c r="E1126" s="17" t="n"/>
      <c r="F1126" s="17" t="n"/>
      <c r="G1126" s="15" t="n"/>
      <c r="H1126" s="25">
        <f>IF(G1126="","",SUMIF(C$2:C1126,"Masuk",G$2:G1126)-SUMIF(C$2:C1126,"Keluar",G$2:G1126))</f>
        <v/>
      </c>
    </row>
    <row r="1127">
      <c r="A1127" s="26" t="n"/>
      <c r="B1127" s="27" t="n"/>
      <c r="C1127" s="28" t="n"/>
      <c r="D1127" s="29" t="n"/>
      <c r="E1127" s="29" t="n"/>
      <c r="F1127" s="29" t="n"/>
      <c r="G1127" s="30" t="n"/>
      <c r="H1127" s="31">
        <f>IF(G1127="","",SUMIF(C$2:C1127,"Masuk",G$2:G1127)-SUMIF(C$2:C1127,"Keluar",G$2:G1127))</f>
        <v/>
      </c>
    </row>
    <row r="1128">
      <c r="A1128" s="22" t="n"/>
      <c r="B1128" s="23" t="n"/>
      <c r="C1128" s="24" t="n"/>
      <c r="D1128" s="17" t="n"/>
      <c r="E1128" s="17" t="n"/>
      <c r="F1128" s="17" t="n"/>
      <c r="G1128" s="15" t="n"/>
      <c r="H1128" s="25">
        <f>IF(G1128="","",SUMIF(C$2:C1128,"Masuk",G$2:G1128)-SUMIF(C$2:C1128,"Keluar",G$2:G1128))</f>
        <v/>
      </c>
    </row>
    <row r="1129">
      <c r="A1129" s="26" t="n"/>
      <c r="B1129" s="27" t="n"/>
      <c r="C1129" s="28" t="n"/>
      <c r="D1129" s="29" t="n"/>
      <c r="E1129" s="29" t="n"/>
      <c r="F1129" s="29" t="n"/>
      <c r="G1129" s="30" t="n"/>
      <c r="H1129" s="31">
        <f>IF(G1129="","",SUMIF(C$2:C1129,"Masuk",G$2:G1129)-SUMIF(C$2:C1129,"Keluar",G$2:G1129))</f>
        <v/>
      </c>
    </row>
    <row r="1130">
      <c r="A1130" s="22" t="n"/>
      <c r="B1130" s="23" t="n"/>
      <c r="C1130" s="24" t="n"/>
      <c r="D1130" s="17" t="n"/>
      <c r="E1130" s="17" t="n"/>
      <c r="F1130" s="17" t="n"/>
      <c r="G1130" s="15" t="n"/>
      <c r="H1130" s="25">
        <f>IF(G1130="","",SUMIF(C$2:C1130,"Masuk",G$2:G1130)-SUMIF(C$2:C1130,"Keluar",G$2:G1130))</f>
        <v/>
      </c>
    </row>
    <row r="1131">
      <c r="A1131" s="26" t="n"/>
      <c r="B1131" s="27" t="n"/>
      <c r="C1131" s="28" t="n"/>
      <c r="D1131" s="29" t="n"/>
      <c r="E1131" s="29" t="n"/>
      <c r="F1131" s="29" t="n"/>
      <c r="G1131" s="30" t="n"/>
      <c r="H1131" s="31">
        <f>IF(G1131="","",SUMIF(C$2:C1131,"Masuk",G$2:G1131)-SUMIF(C$2:C1131,"Keluar",G$2:G1131))</f>
        <v/>
      </c>
    </row>
    <row r="1132">
      <c r="A1132" s="22" t="n"/>
      <c r="B1132" s="23" t="n"/>
      <c r="C1132" s="24" t="n"/>
      <c r="D1132" s="17" t="n"/>
      <c r="E1132" s="17" t="n"/>
      <c r="F1132" s="17" t="n"/>
      <c r="G1132" s="15" t="n"/>
      <c r="H1132" s="25">
        <f>IF(G1132="","",SUMIF(C$2:C1132,"Masuk",G$2:G1132)-SUMIF(C$2:C1132,"Keluar",G$2:G1132))</f>
        <v/>
      </c>
    </row>
    <row r="1133">
      <c r="A1133" s="26" t="n"/>
      <c r="B1133" s="27" t="n"/>
      <c r="C1133" s="28" t="n"/>
      <c r="D1133" s="29" t="n"/>
      <c r="E1133" s="29" t="n"/>
      <c r="F1133" s="29" t="n"/>
      <c r="G1133" s="30" t="n"/>
      <c r="H1133" s="31">
        <f>IF(G1133="","",SUMIF(C$2:C1133,"Masuk",G$2:G1133)-SUMIF(C$2:C1133,"Keluar",G$2:G1133))</f>
        <v/>
      </c>
    </row>
    <row r="1134">
      <c r="A1134" s="22" t="n"/>
      <c r="B1134" s="23" t="n"/>
      <c r="C1134" s="24" t="n"/>
      <c r="D1134" s="17" t="n"/>
      <c r="E1134" s="17" t="n"/>
      <c r="F1134" s="17" t="n"/>
      <c r="G1134" s="15" t="n"/>
      <c r="H1134" s="25">
        <f>IF(G1134="","",SUMIF(C$2:C1134,"Masuk",G$2:G1134)-SUMIF(C$2:C1134,"Keluar",G$2:G1134))</f>
        <v/>
      </c>
    </row>
    <row r="1135">
      <c r="A1135" s="26" t="n"/>
      <c r="B1135" s="27" t="n"/>
      <c r="C1135" s="28" t="n"/>
      <c r="D1135" s="29" t="n"/>
      <c r="E1135" s="29" t="n"/>
      <c r="F1135" s="29" t="n"/>
      <c r="G1135" s="30" t="n"/>
      <c r="H1135" s="31">
        <f>IF(G1135="","",SUMIF(C$2:C1135,"Masuk",G$2:G1135)-SUMIF(C$2:C1135,"Keluar",G$2:G1135))</f>
        <v/>
      </c>
    </row>
    <row r="1136">
      <c r="A1136" s="22" t="n"/>
      <c r="B1136" s="23" t="n"/>
      <c r="C1136" s="24" t="n"/>
      <c r="D1136" s="17" t="n"/>
      <c r="E1136" s="17" t="n"/>
      <c r="F1136" s="17" t="n"/>
      <c r="G1136" s="15" t="n"/>
      <c r="H1136" s="25">
        <f>IF(G1136="","",SUMIF(C$2:C1136,"Masuk",G$2:G1136)-SUMIF(C$2:C1136,"Keluar",G$2:G1136))</f>
        <v/>
      </c>
    </row>
    <row r="1137">
      <c r="A1137" s="26" t="n"/>
      <c r="B1137" s="27" t="n"/>
      <c r="C1137" s="28" t="n"/>
      <c r="D1137" s="29" t="n"/>
      <c r="E1137" s="29" t="n"/>
      <c r="F1137" s="29" t="n"/>
      <c r="G1137" s="30" t="n"/>
      <c r="H1137" s="31">
        <f>IF(G1137="","",SUMIF(C$2:C1137,"Masuk",G$2:G1137)-SUMIF(C$2:C1137,"Keluar",G$2:G1137))</f>
        <v/>
      </c>
    </row>
    <row r="1138">
      <c r="A1138" s="22" t="n"/>
      <c r="B1138" s="23" t="n"/>
      <c r="C1138" s="24" t="n"/>
      <c r="D1138" s="17" t="n"/>
      <c r="E1138" s="17" t="n"/>
      <c r="F1138" s="17" t="n"/>
      <c r="G1138" s="15" t="n"/>
      <c r="H1138" s="25">
        <f>IF(G1138="","",SUMIF(C$2:C1138,"Masuk",G$2:G1138)-SUMIF(C$2:C1138,"Keluar",G$2:G1138))</f>
        <v/>
      </c>
    </row>
    <row r="1139">
      <c r="A1139" s="26" t="n"/>
      <c r="B1139" s="27" t="n"/>
      <c r="C1139" s="28" t="n"/>
      <c r="D1139" s="29" t="n"/>
      <c r="E1139" s="29" t="n"/>
      <c r="F1139" s="29" t="n"/>
      <c r="G1139" s="30" t="n"/>
      <c r="H1139" s="31">
        <f>IF(G1139="","",SUMIF(C$2:C1139,"Masuk",G$2:G1139)-SUMIF(C$2:C1139,"Keluar",G$2:G1139))</f>
        <v/>
      </c>
    </row>
    <row r="1140">
      <c r="A1140" s="22" t="n"/>
      <c r="B1140" s="23" t="n"/>
      <c r="C1140" s="24" t="n"/>
      <c r="D1140" s="17" t="n"/>
      <c r="E1140" s="17" t="n"/>
      <c r="F1140" s="17" t="n"/>
      <c r="G1140" s="15" t="n"/>
      <c r="H1140" s="25">
        <f>IF(G1140="","",SUMIF(C$2:C1140,"Masuk",G$2:G1140)-SUMIF(C$2:C1140,"Keluar",G$2:G1140))</f>
        <v/>
      </c>
    </row>
    <row r="1141">
      <c r="A1141" s="26" t="n"/>
      <c r="B1141" s="27" t="n"/>
      <c r="C1141" s="28" t="n"/>
      <c r="D1141" s="29" t="n"/>
      <c r="E1141" s="29" t="n"/>
      <c r="F1141" s="29" t="n"/>
      <c r="G1141" s="30" t="n"/>
      <c r="H1141" s="31">
        <f>IF(G1141="","",SUMIF(C$2:C1141,"Masuk",G$2:G1141)-SUMIF(C$2:C1141,"Keluar",G$2:G1141))</f>
        <v/>
      </c>
    </row>
    <row r="1142">
      <c r="A1142" s="22" t="n"/>
      <c r="B1142" s="23" t="n"/>
      <c r="C1142" s="24" t="n"/>
      <c r="D1142" s="17" t="n"/>
      <c r="E1142" s="17" t="n"/>
      <c r="F1142" s="17" t="n"/>
      <c r="G1142" s="15" t="n"/>
      <c r="H1142" s="25">
        <f>IF(G1142="","",SUMIF(C$2:C1142,"Masuk",G$2:G1142)-SUMIF(C$2:C1142,"Keluar",G$2:G1142))</f>
        <v/>
      </c>
    </row>
    <row r="1143">
      <c r="A1143" s="26" t="n"/>
      <c r="B1143" s="27" t="n"/>
      <c r="C1143" s="28" t="n"/>
      <c r="D1143" s="29" t="n"/>
      <c r="E1143" s="29" t="n"/>
      <c r="F1143" s="29" t="n"/>
      <c r="G1143" s="30" t="n"/>
      <c r="H1143" s="31">
        <f>IF(G1143="","",SUMIF(C$2:C1143,"Masuk",G$2:G1143)-SUMIF(C$2:C1143,"Keluar",G$2:G1143))</f>
        <v/>
      </c>
    </row>
    <row r="1144">
      <c r="A1144" s="22" t="n"/>
      <c r="B1144" s="23" t="n"/>
      <c r="C1144" s="24" t="n"/>
      <c r="D1144" s="17" t="n"/>
      <c r="E1144" s="17" t="n"/>
      <c r="F1144" s="17" t="n"/>
      <c r="G1144" s="15" t="n"/>
      <c r="H1144" s="25">
        <f>IF(G1144="","",SUMIF(C$2:C1144,"Masuk",G$2:G1144)-SUMIF(C$2:C1144,"Keluar",G$2:G1144))</f>
        <v/>
      </c>
    </row>
    <row r="1145">
      <c r="A1145" s="26" t="n"/>
      <c r="B1145" s="27" t="n"/>
      <c r="C1145" s="28" t="n"/>
      <c r="D1145" s="29" t="n"/>
      <c r="E1145" s="29" t="n"/>
      <c r="F1145" s="29" t="n"/>
      <c r="G1145" s="30" t="n"/>
      <c r="H1145" s="31">
        <f>IF(G1145="","",SUMIF(C$2:C1145,"Masuk",G$2:G1145)-SUMIF(C$2:C1145,"Keluar",G$2:G1145))</f>
        <v/>
      </c>
    </row>
    <row r="1146">
      <c r="A1146" s="22" t="n"/>
      <c r="B1146" s="23" t="n"/>
      <c r="C1146" s="24" t="n"/>
      <c r="D1146" s="17" t="n"/>
      <c r="E1146" s="17" t="n"/>
      <c r="F1146" s="17" t="n"/>
      <c r="G1146" s="15" t="n"/>
      <c r="H1146" s="25">
        <f>IF(G1146="","",SUMIF(C$2:C1146,"Masuk",G$2:G1146)-SUMIF(C$2:C1146,"Keluar",G$2:G1146))</f>
        <v/>
      </c>
    </row>
    <row r="1147">
      <c r="A1147" s="26" t="n"/>
      <c r="B1147" s="27" t="n"/>
      <c r="C1147" s="28" t="n"/>
      <c r="D1147" s="29" t="n"/>
      <c r="E1147" s="29" t="n"/>
      <c r="F1147" s="29" t="n"/>
      <c r="G1147" s="30" t="n"/>
      <c r="H1147" s="31">
        <f>IF(G1147="","",SUMIF(C$2:C1147,"Masuk",G$2:G1147)-SUMIF(C$2:C1147,"Keluar",G$2:G1147))</f>
        <v/>
      </c>
    </row>
    <row r="1148">
      <c r="A1148" s="22" t="n"/>
      <c r="B1148" s="23" t="n"/>
      <c r="C1148" s="24" t="n"/>
      <c r="D1148" s="17" t="n"/>
      <c r="E1148" s="17" t="n"/>
      <c r="F1148" s="17" t="n"/>
      <c r="G1148" s="15" t="n"/>
      <c r="H1148" s="25">
        <f>IF(G1148="","",SUMIF(C$2:C1148,"Masuk",G$2:G1148)-SUMIF(C$2:C1148,"Keluar",G$2:G1148))</f>
        <v/>
      </c>
    </row>
    <row r="1149">
      <c r="A1149" s="26" t="n"/>
      <c r="B1149" s="27" t="n"/>
      <c r="C1149" s="28" t="n"/>
      <c r="D1149" s="29" t="n"/>
      <c r="E1149" s="29" t="n"/>
      <c r="F1149" s="29" t="n"/>
      <c r="G1149" s="30" t="n"/>
      <c r="H1149" s="31">
        <f>IF(G1149="","",SUMIF(C$2:C1149,"Masuk",G$2:G1149)-SUMIF(C$2:C1149,"Keluar",G$2:G1149))</f>
        <v/>
      </c>
    </row>
    <row r="1150">
      <c r="A1150" s="22" t="n"/>
      <c r="B1150" s="23" t="n"/>
      <c r="C1150" s="24" t="n"/>
      <c r="D1150" s="17" t="n"/>
      <c r="E1150" s="17" t="n"/>
      <c r="F1150" s="17" t="n"/>
      <c r="G1150" s="15" t="n"/>
      <c r="H1150" s="25">
        <f>IF(G1150="","",SUMIF(C$2:C1150,"Masuk",G$2:G1150)-SUMIF(C$2:C1150,"Keluar",G$2:G1150))</f>
        <v/>
      </c>
    </row>
    <row r="1151">
      <c r="A1151" s="26" t="n"/>
      <c r="B1151" s="27" t="n"/>
      <c r="C1151" s="28" t="n"/>
      <c r="D1151" s="29" t="n"/>
      <c r="E1151" s="29" t="n"/>
      <c r="F1151" s="29" t="n"/>
      <c r="G1151" s="30" t="n"/>
      <c r="H1151" s="31">
        <f>IF(G1151="","",SUMIF(C$2:C1151,"Masuk",G$2:G1151)-SUMIF(C$2:C1151,"Keluar",G$2:G1151))</f>
        <v/>
      </c>
    </row>
    <row r="1152">
      <c r="A1152" s="22" t="n"/>
      <c r="B1152" s="23" t="n"/>
      <c r="C1152" s="24" t="n"/>
      <c r="D1152" s="17" t="n"/>
      <c r="E1152" s="17" t="n"/>
      <c r="F1152" s="17" t="n"/>
      <c r="G1152" s="15" t="n"/>
      <c r="H1152" s="25">
        <f>IF(G1152="","",SUMIF(C$2:C1152,"Masuk",G$2:G1152)-SUMIF(C$2:C1152,"Keluar",G$2:G1152))</f>
        <v/>
      </c>
    </row>
    <row r="1153">
      <c r="A1153" s="26" t="n"/>
      <c r="B1153" s="27" t="n"/>
      <c r="C1153" s="28" t="n"/>
      <c r="D1153" s="29" t="n"/>
      <c r="E1153" s="29" t="n"/>
      <c r="F1153" s="29" t="n"/>
      <c r="G1153" s="30" t="n"/>
      <c r="H1153" s="31">
        <f>IF(G1153="","",SUMIF(C$2:C1153,"Masuk",G$2:G1153)-SUMIF(C$2:C1153,"Keluar",G$2:G1153))</f>
        <v/>
      </c>
    </row>
    <row r="1154">
      <c r="A1154" s="22" t="n"/>
      <c r="B1154" s="23" t="n"/>
      <c r="C1154" s="24" t="n"/>
      <c r="D1154" s="17" t="n"/>
      <c r="E1154" s="17" t="n"/>
      <c r="F1154" s="17" t="n"/>
      <c r="G1154" s="15" t="n"/>
      <c r="H1154" s="25">
        <f>IF(G1154="","",SUMIF(C$2:C1154,"Masuk",G$2:G1154)-SUMIF(C$2:C1154,"Keluar",G$2:G1154))</f>
        <v/>
      </c>
    </row>
    <row r="1155">
      <c r="A1155" s="26" t="n"/>
      <c r="B1155" s="27" t="n"/>
      <c r="C1155" s="28" t="n"/>
      <c r="D1155" s="29" t="n"/>
      <c r="E1155" s="29" t="n"/>
      <c r="F1155" s="29" t="n"/>
      <c r="G1155" s="30" t="n"/>
      <c r="H1155" s="31">
        <f>IF(G1155="","",SUMIF(C$2:C1155,"Masuk",G$2:G1155)-SUMIF(C$2:C1155,"Keluar",G$2:G1155))</f>
        <v/>
      </c>
    </row>
    <row r="1156">
      <c r="A1156" s="22" t="n"/>
      <c r="B1156" s="23" t="n"/>
      <c r="C1156" s="24" t="n"/>
      <c r="D1156" s="17" t="n"/>
      <c r="E1156" s="17" t="n"/>
      <c r="F1156" s="17" t="n"/>
      <c r="G1156" s="15" t="n"/>
      <c r="H1156" s="25">
        <f>IF(G1156="","",SUMIF(C$2:C1156,"Masuk",G$2:G1156)-SUMIF(C$2:C1156,"Keluar",G$2:G1156))</f>
        <v/>
      </c>
    </row>
    <row r="1157">
      <c r="A1157" s="26" t="n"/>
      <c r="B1157" s="27" t="n"/>
      <c r="C1157" s="28" t="n"/>
      <c r="D1157" s="29" t="n"/>
      <c r="E1157" s="29" t="n"/>
      <c r="F1157" s="29" t="n"/>
      <c r="G1157" s="30" t="n"/>
      <c r="H1157" s="31">
        <f>IF(G1157="","",SUMIF(C$2:C1157,"Masuk",G$2:G1157)-SUMIF(C$2:C1157,"Keluar",G$2:G1157))</f>
        <v/>
      </c>
    </row>
    <row r="1158">
      <c r="A1158" s="22" t="n"/>
      <c r="B1158" s="23" t="n"/>
      <c r="C1158" s="24" t="n"/>
      <c r="D1158" s="17" t="n"/>
      <c r="E1158" s="17" t="n"/>
      <c r="F1158" s="17" t="n"/>
      <c r="G1158" s="15" t="n"/>
      <c r="H1158" s="25">
        <f>IF(G1158="","",SUMIF(C$2:C1158,"Masuk",G$2:G1158)-SUMIF(C$2:C1158,"Keluar",G$2:G1158))</f>
        <v/>
      </c>
    </row>
    <row r="1159">
      <c r="A1159" s="26" t="n"/>
      <c r="B1159" s="27" t="n"/>
      <c r="C1159" s="28" t="n"/>
      <c r="D1159" s="29" t="n"/>
      <c r="E1159" s="29" t="n"/>
      <c r="F1159" s="29" t="n"/>
      <c r="G1159" s="30" t="n"/>
      <c r="H1159" s="31">
        <f>IF(G1159="","",SUMIF(C$2:C1159,"Masuk",G$2:G1159)-SUMIF(C$2:C1159,"Keluar",G$2:G1159))</f>
        <v/>
      </c>
    </row>
    <row r="1160">
      <c r="A1160" s="22" t="n"/>
      <c r="B1160" s="23" t="n"/>
      <c r="C1160" s="24" t="n"/>
      <c r="D1160" s="17" t="n"/>
      <c r="E1160" s="17" t="n"/>
      <c r="F1160" s="17" t="n"/>
      <c r="G1160" s="15" t="n"/>
      <c r="H1160" s="25">
        <f>IF(G1160="","",SUMIF(C$2:C1160,"Masuk",G$2:G1160)-SUMIF(C$2:C1160,"Keluar",G$2:G1160))</f>
        <v/>
      </c>
    </row>
    <row r="1161">
      <c r="A1161" s="26" t="n"/>
      <c r="B1161" s="27" t="n"/>
      <c r="C1161" s="28" t="n"/>
      <c r="D1161" s="29" t="n"/>
      <c r="E1161" s="29" t="n"/>
      <c r="F1161" s="29" t="n"/>
      <c r="G1161" s="30" t="n"/>
      <c r="H1161" s="31">
        <f>IF(G1161="","",SUMIF(C$2:C1161,"Masuk",G$2:G1161)-SUMIF(C$2:C1161,"Keluar",G$2:G1161))</f>
        <v/>
      </c>
    </row>
    <row r="1162">
      <c r="A1162" s="22" t="n"/>
      <c r="B1162" s="23" t="n"/>
      <c r="C1162" s="24" t="n"/>
      <c r="D1162" s="17" t="n"/>
      <c r="E1162" s="17" t="n"/>
      <c r="F1162" s="17" t="n"/>
      <c r="G1162" s="15" t="n"/>
      <c r="H1162" s="25">
        <f>IF(G1162="","",SUMIF(C$2:C1162,"Masuk",G$2:G1162)-SUMIF(C$2:C1162,"Keluar",G$2:G1162))</f>
        <v/>
      </c>
    </row>
    <row r="1163">
      <c r="A1163" s="26" t="n"/>
      <c r="B1163" s="27" t="n"/>
      <c r="C1163" s="28" t="n"/>
      <c r="D1163" s="29" t="n"/>
      <c r="E1163" s="29" t="n"/>
      <c r="F1163" s="29" t="n"/>
      <c r="G1163" s="30" t="n"/>
      <c r="H1163" s="31">
        <f>IF(G1163="","",SUMIF(C$2:C1163,"Masuk",G$2:G1163)-SUMIF(C$2:C1163,"Keluar",G$2:G1163))</f>
        <v/>
      </c>
    </row>
    <row r="1164">
      <c r="A1164" s="22" t="n"/>
      <c r="B1164" s="23" t="n"/>
      <c r="C1164" s="24" t="n"/>
      <c r="D1164" s="17" t="n"/>
      <c r="E1164" s="17" t="n"/>
      <c r="F1164" s="17" t="n"/>
      <c r="G1164" s="15" t="n"/>
      <c r="H1164" s="25">
        <f>IF(G1164="","",SUMIF(C$2:C1164,"Masuk",G$2:G1164)-SUMIF(C$2:C1164,"Keluar",G$2:G1164))</f>
        <v/>
      </c>
    </row>
    <row r="1165">
      <c r="A1165" s="26" t="n"/>
      <c r="B1165" s="27" t="n"/>
      <c r="C1165" s="28" t="n"/>
      <c r="D1165" s="29" t="n"/>
      <c r="E1165" s="29" t="n"/>
      <c r="F1165" s="29" t="n"/>
      <c r="G1165" s="30" t="n"/>
      <c r="H1165" s="31">
        <f>IF(G1165="","",SUMIF(C$2:C1165,"Masuk",G$2:G1165)-SUMIF(C$2:C1165,"Keluar",G$2:G1165))</f>
        <v/>
      </c>
    </row>
    <row r="1166">
      <c r="A1166" s="22" t="n"/>
      <c r="B1166" s="23" t="n"/>
      <c r="C1166" s="24" t="n"/>
      <c r="D1166" s="17" t="n"/>
      <c r="E1166" s="17" t="n"/>
      <c r="F1166" s="17" t="n"/>
      <c r="G1166" s="15" t="n"/>
      <c r="H1166" s="25">
        <f>IF(G1166="","",SUMIF(C$2:C1166,"Masuk",G$2:G1166)-SUMIF(C$2:C1166,"Keluar",G$2:G1166))</f>
        <v/>
      </c>
    </row>
    <row r="1167">
      <c r="A1167" s="26" t="n"/>
      <c r="B1167" s="27" t="n"/>
      <c r="C1167" s="28" t="n"/>
      <c r="D1167" s="29" t="n"/>
      <c r="E1167" s="29" t="n"/>
      <c r="F1167" s="29" t="n"/>
      <c r="G1167" s="30" t="n"/>
      <c r="H1167" s="31">
        <f>IF(G1167="","",SUMIF(C$2:C1167,"Masuk",G$2:G1167)-SUMIF(C$2:C1167,"Keluar",G$2:G1167))</f>
        <v/>
      </c>
    </row>
    <row r="1168">
      <c r="A1168" s="22" t="n"/>
      <c r="B1168" s="23" t="n"/>
      <c r="C1168" s="24" t="n"/>
      <c r="D1168" s="17" t="n"/>
      <c r="E1168" s="17" t="n"/>
      <c r="F1168" s="17" t="n"/>
      <c r="G1168" s="15" t="n"/>
      <c r="H1168" s="25">
        <f>IF(G1168="","",SUMIF(C$2:C1168,"Masuk",G$2:G1168)-SUMIF(C$2:C1168,"Keluar",G$2:G1168))</f>
        <v/>
      </c>
    </row>
    <row r="1169">
      <c r="A1169" s="26" t="n"/>
      <c r="B1169" s="27" t="n"/>
      <c r="C1169" s="28" t="n"/>
      <c r="D1169" s="29" t="n"/>
      <c r="E1169" s="29" t="n"/>
      <c r="F1169" s="29" t="n"/>
      <c r="G1169" s="30" t="n"/>
      <c r="H1169" s="31">
        <f>IF(G1169="","",SUMIF(C$2:C1169,"Masuk",G$2:G1169)-SUMIF(C$2:C1169,"Keluar",G$2:G1169))</f>
        <v/>
      </c>
    </row>
    <row r="1170">
      <c r="A1170" s="22" t="n"/>
      <c r="B1170" s="23" t="n"/>
      <c r="C1170" s="24" t="n"/>
      <c r="D1170" s="17" t="n"/>
      <c r="E1170" s="17" t="n"/>
      <c r="F1170" s="17" t="n"/>
      <c r="G1170" s="15" t="n"/>
      <c r="H1170" s="25">
        <f>IF(G1170="","",SUMIF(C$2:C1170,"Masuk",G$2:G1170)-SUMIF(C$2:C1170,"Keluar",G$2:G1170))</f>
        <v/>
      </c>
    </row>
    <row r="1171">
      <c r="A1171" s="26" t="n"/>
      <c r="B1171" s="27" t="n"/>
      <c r="C1171" s="28" t="n"/>
      <c r="D1171" s="29" t="n"/>
      <c r="E1171" s="29" t="n"/>
      <c r="F1171" s="29" t="n"/>
      <c r="G1171" s="30" t="n"/>
      <c r="H1171" s="31">
        <f>IF(G1171="","",SUMIF(C$2:C1171,"Masuk",G$2:G1171)-SUMIF(C$2:C1171,"Keluar",G$2:G1171))</f>
        <v/>
      </c>
    </row>
    <row r="1172">
      <c r="A1172" s="22" t="n"/>
      <c r="B1172" s="23" t="n"/>
      <c r="C1172" s="24" t="n"/>
      <c r="D1172" s="17" t="n"/>
      <c r="E1172" s="17" t="n"/>
      <c r="F1172" s="17" t="n"/>
      <c r="G1172" s="15" t="n"/>
      <c r="H1172" s="25">
        <f>IF(G1172="","",SUMIF(C$2:C1172,"Masuk",G$2:G1172)-SUMIF(C$2:C1172,"Keluar",G$2:G1172))</f>
        <v/>
      </c>
    </row>
    <row r="1173">
      <c r="A1173" s="26" t="n"/>
      <c r="B1173" s="27" t="n"/>
      <c r="C1173" s="28" t="n"/>
      <c r="D1173" s="29" t="n"/>
      <c r="E1173" s="29" t="n"/>
      <c r="F1173" s="29" t="n"/>
      <c r="G1173" s="30" t="n"/>
      <c r="H1173" s="31">
        <f>IF(G1173="","",SUMIF(C$2:C1173,"Masuk",G$2:G1173)-SUMIF(C$2:C1173,"Keluar",G$2:G1173))</f>
        <v/>
      </c>
    </row>
    <row r="1174">
      <c r="A1174" s="22" t="n"/>
      <c r="B1174" s="23" t="n"/>
      <c r="C1174" s="24" t="n"/>
      <c r="D1174" s="17" t="n"/>
      <c r="E1174" s="17" t="n"/>
      <c r="F1174" s="17" t="n"/>
      <c r="G1174" s="15" t="n"/>
      <c r="H1174" s="25">
        <f>IF(G1174="","",SUMIF(C$2:C1174,"Masuk",G$2:G1174)-SUMIF(C$2:C1174,"Keluar",G$2:G1174))</f>
        <v/>
      </c>
    </row>
    <row r="1175">
      <c r="A1175" s="26" t="n"/>
      <c r="B1175" s="27" t="n"/>
      <c r="C1175" s="28" t="n"/>
      <c r="D1175" s="29" t="n"/>
      <c r="E1175" s="29" t="n"/>
      <c r="F1175" s="29" t="n"/>
      <c r="G1175" s="30" t="n"/>
      <c r="H1175" s="31">
        <f>IF(G1175="","",SUMIF(C$2:C1175,"Masuk",G$2:G1175)-SUMIF(C$2:C1175,"Keluar",G$2:G1175))</f>
        <v/>
      </c>
    </row>
    <row r="1176">
      <c r="A1176" s="22" t="n"/>
      <c r="B1176" s="23" t="n"/>
      <c r="C1176" s="24" t="n"/>
      <c r="D1176" s="17" t="n"/>
      <c r="E1176" s="17" t="n"/>
      <c r="F1176" s="17" t="n"/>
      <c r="G1176" s="15" t="n"/>
      <c r="H1176" s="25">
        <f>IF(G1176="","",SUMIF(C$2:C1176,"Masuk",G$2:G1176)-SUMIF(C$2:C1176,"Keluar",G$2:G1176))</f>
        <v/>
      </c>
    </row>
    <row r="1177">
      <c r="A1177" s="26" t="n"/>
      <c r="B1177" s="27" t="n"/>
      <c r="C1177" s="28" t="n"/>
      <c r="D1177" s="29" t="n"/>
      <c r="E1177" s="29" t="n"/>
      <c r="F1177" s="29" t="n"/>
      <c r="G1177" s="30" t="n"/>
      <c r="H1177" s="31">
        <f>IF(G1177="","",SUMIF(C$2:C1177,"Masuk",G$2:G1177)-SUMIF(C$2:C1177,"Keluar",G$2:G1177))</f>
        <v/>
      </c>
    </row>
    <row r="1178">
      <c r="A1178" s="22" t="n"/>
      <c r="B1178" s="23" t="n"/>
      <c r="C1178" s="24" t="n"/>
      <c r="D1178" s="17" t="n"/>
      <c r="E1178" s="17" t="n"/>
      <c r="F1178" s="17" t="n"/>
      <c r="G1178" s="15" t="n"/>
      <c r="H1178" s="25">
        <f>IF(G1178="","",SUMIF(C$2:C1178,"Masuk",G$2:G1178)-SUMIF(C$2:C1178,"Keluar",G$2:G1178))</f>
        <v/>
      </c>
    </row>
    <row r="1179">
      <c r="A1179" s="26" t="n"/>
      <c r="B1179" s="27" t="n"/>
      <c r="C1179" s="28" t="n"/>
      <c r="D1179" s="29" t="n"/>
      <c r="E1179" s="29" t="n"/>
      <c r="F1179" s="29" t="n"/>
      <c r="G1179" s="30" t="n"/>
      <c r="H1179" s="31">
        <f>IF(G1179="","",SUMIF(C$2:C1179,"Masuk",G$2:G1179)-SUMIF(C$2:C1179,"Keluar",G$2:G1179))</f>
        <v/>
      </c>
    </row>
    <row r="1180">
      <c r="A1180" s="22" t="n"/>
      <c r="B1180" s="23" t="n"/>
      <c r="C1180" s="24" t="n"/>
      <c r="D1180" s="17" t="n"/>
      <c r="E1180" s="17" t="n"/>
      <c r="F1180" s="17" t="n"/>
      <c r="G1180" s="15" t="n"/>
      <c r="H1180" s="25">
        <f>IF(G1180="","",SUMIF(C$2:C1180,"Masuk",G$2:G1180)-SUMIF(C$2:C1180,"Keluar",G$2:G1180))</f>
        <v/>
      </c>
    </row>
    <row r="1181">
      <c r="A1181" s="26" t="n"/>
      <c r="B1181" s="27" t="n"/>
      <c r="C1181" s="28" t="n"/>
      <c r="D1181" s="29" t="n"/>
      <c r="E1181" s="29" t="n"/>
      <c r="F1181" s="29" t="n"/>
      <c r="G1181" s="30" t="n"/>
      <c r="H1181" s="31">
        <f>IF(G1181="","",SUMIF(C$2:C1181,"Masuk",G$2:G1181)-SUMIF(C$2:C1181,"Keluar",G$2:G1181))</f>
        <v/>
      </c>
    </row>
    <row r="1182">
      <c r="A1182" s="22" t="n"/>
      <c r="B1182" s="23" t="n"/>
      <c r="C1182" s="24" t="n"/>
      <c r="D1182" s="17" t="n"/>
      <c r="E1182" s="17" t="n"/>
      <c r="F1182" s="17" t="n"/>
      <c r="G1182" s="15" t="n"/>
      <c r="H1182" s="25">
        <f>IF(G1182="","",SUMIF(C$2:C1182,"Masuk",G$2:G1182)-SUMIF(C$2:C1182,"Keluar",G$2:G1182))</f>
        <v/>
      </c>
    </row>
    <row r="1183">
      <c r="A1183" s="26" t="n"/>
      <c r="B1183" s="27" t="n"/>
      <c r="C1183" s="28" t="n"/>
      <c r="D1183" s="29" t="n"/>
      <c r="E1183" s="29" t="n"/>
      <c r="F1183" s="29" t="n"/>
      <c r="G1183" s="30" t="n"/>
      <c r="H1183" s="31">
        <f>IF(G1183="","",SUMIF(C$2:C1183,"Masuk",G$2:G1183)-SUMIF(C$2:C1183,"Keluar",G$2:G1183))</f>
        <v/>
      </c>
    </row>
    <row r="1184">
      <c r="A1184" s="22" t="n"/>
      <c r="B1184" s="23" t="n"/>
      <c r="C1184" s="24" t="n"/>
      <c r="D1184" s="17" t="n"/>
      <c r="E1184" s="17" t="n"/>
      <c r="F1184" s="17" t="n"/>
      <c r="G1184" s="15" t="n"/>
      <c r="H1184" s="25">
        <f>IF(G1184="","",SUMIF(C$2:C1184,"Masuk",G$2:G1184)-SUMIF(C$2:C1184,"Keluar",G$2:G1184))</f>
        <v/>
      </c>
    </row>
    <row r="1185">
      <c r="A1185" s="26" t="n"/>
      <c r="B1185" s="27" t="n"/>
      <c r="C1185" s="28" t="n"/>
      <c r="D1185" s="29" t="n"/>
      <c r="E1185" s="29" t="n"/>
      <c r="F1185" s="29" t="n"/>
      <c r="G1185" s="30" t="n"/>
      <c r="H1185" s="31">
        <f>IF(G1185="","",SUMIF(C$2:C1185,"Masuk",G$2:G1185)-SUMIF(C$2:C1185,"Keluar",G$2:G1185))</f>
        <v/>
      </c>
    </row>
    <row r="1186">
      <c r="A1186" s="22" t="n"/>
      <c r="B1186" s="23" t="n"/>
      <c r="C1186" s="24" t="n"/>
      <c r="D1186" s="17" t="n"/>
      <c r="E1186" s="17" t="n"/>
      <c r="F1186" s="17" t="n"/>
      <c r="G1186" s="15" t="n"/>
      <c r="H1186" s="25">
        <f>IF(G1186="","",SUMIF(C$2:C1186,"Masuk",G$2:G1186)-SUMIF(C$2:C1186,"Keluar",G$2:G1186))</f>
        <v/>
      </c>
    </row>
    <row r="1187">
      <c r="A1187" s="26" t="n"/>
      <c r="B1187" s="27" t="n"/>
      <c r="C1187" s="28" t="n"/>
      <c r="D1187" s="29" t="n"/>
      <c r="E1187" s="29" t="n"/>
      <c r="F1187" s="29" t="n"/>
      <c r="G1187" s="30" t="n"/>
      <c r="H1187" s="31">
        <f>IF(G1187="","",SUMIF(C$2:C1187,"Masuk",G$2:G1187)-SUMIF(C$2:C1187,"Keluar",G$2:G1187))</f>
        <v/>
      </c>
    </row>
    <row r="1188">
      <c r="A1188" s="22" t="n"/>
      <c r="B1188" s="23" t="n"/>
      <c r="C1188" s="24" t="n"/>
      <c r="D1188" s="17" t="n"/>
      <c r="E1188" s="17" t="n"/>
      <c r="F1188" s="17" t="n"/>
      <c r="G1188" s="15" t="n"/>
      <c r="H1188" s="25">
        <f>IF(G1188="","",SUMIF(C$2:C1188,"Masuk",G$2:G1188)-SUMIF(C$2:C1188,"Keluar",G$2:G1188))</f>
        <v/>
      </c>
    </row>
    <row r="1189">
      <c r="A1189" s="26" t="n"/>
      <c r="B1189" s="27" t="n"/>
      <c r="C1189" s="28" t="n"/>
      <c r="D1189" s="29" t="n"/>
      <c r="E1189" s="29" t="n"/>
      <c r="F1189" s="29" t="n"/>
      <c r="G1189" s="30" t="n"/>
      <c r="H1189" s="31">
        <f>IF(G1189="","",SUMIF(C$2:C1189,"Masuk",G$2:G1189)-SUMIF(C$2:C1189,"Keluar",G$2:G1189))</f>
        <v/>
      </c>
    </row>
    <row r="1190">
      <c r="A1190" s="22" t="n"/>
      <c r="B1190" s="23" t="n"/>
      <c r="C1190" s="24" t="n"/>
      <c r="D1190" s="17" t="n"/>
      <c r="E1190" s="17" t="n"/>
      <c r="F1190" s="17" t="n"/>
      <c r="G1190" s="15" t="n"/>
      <c r="H1190" s="25">
        <f>IF(G1190="","",SUMIF(C$2:C1190,"Masuk",G$2:G1190)-SUMIF(C$2:C1190,"Keluar",G$2:G1190))</f>
        <v/>
      </c>
    </row>
    <row r="1191">
      <c r="A1191" s="26" t="n"/>
      <c r="B1191" s="27" t="n"/>
      <c r="C1191" s="28" t="n"/>
      <c r="D1191" s="29" t="n"/>
      <c r="E1191" s="29" t="n"/>
      <c r="F1191" s="29" t="n"/>
      <c r="G1191" s="30" t="n"/>
      <c r="H1191" s="31">
        <f>IF(G1191="","",SUMIF(C$2:C1191,"Masuk",G$2:G1191)-SUMIF(C$2:C1191,"Keluar",G$2:G1191))</f>
        <v/>
      </c>
    </row>
    <row r="1192">
      <c r="A1192" s="22" t="n"/>
      <c r="B1192" s="23" t="n"/>
      <c r="C1192" s="24" t="n"/>
      <c r="D1192" s="17" t="n"/>
      <c r="E1192" s="17" t="n"/>
      <c r="F1192" s="17" t="n"/>
      <c r="G1192" s="15" t="n"/>
      <c r="H1192" s="25">
        <f>IF(G1192="","",SUMIF(C$2:C1192,"Masuk",G$2:G1192)-SUMIF(C$2:C1192,"Keluar",G$2:G1192))</f>
        <v/>
      </c>
    </row>
    <row r="1193">
      <c r="A1193" s="26" t="n"/>
      <c r="B1193" s="27" t="n"/>
      <c r="C1193" s="28" t="n"/>
      <c r="D1193" s="29" t="n"/>
      <c r="E1193" s="29" t="n"/>
      <c r="F1193" s="29" t="n"/>
      <c r="G1193" s="30" t="n"/>
      <c r="H1193" s="31">
        <f>IF(G1193="","",SUMIF(C$2:C1193,"Masuk",G$2:G1193)-SUMIF(C$2:C1193,"Keluar",G$2:G1193))</f>
        <v/>
      </c>
    </row>
    <row r="1194">
      <c r="A1194" s="22" t="n"/>
      <c r="B1194" s="23" t="n"/>
      <c r="C1194" s="24" t="n"/>
      <c r="D1194" s="17" t="n"/>
      <c r="E1194" s="17" t="n"/>
      <c r="F1194" s="17" t="n"/>
      <c r="G1194" s="15" t="n"/>
      <c r="H1194" s="25">
        <f>IF(G1194="","",SUMIF(C$2:C1194,"Masuk",G$2:G1194)-SUMIF(C$2:C1194,"Keluar",G$2:G1194))</f>
        <v/>
      </c>
    </row>
    <row r="1195">
      <c r="A1195" s="26" t="n"/>
      <c r="B1195" s="27" t="n"/>
      <c r="C1195" s="28" t="n"/>
      <c r="D1195" s="29" t="n"/>
      <c r="E1195" s="29" t="n"/>
      <c r="F1195" s="29" t="n"/>
      <c r="G1195" s="30" t="n"/>
      <c r="H1195" s="31">
        <f>IF(G1195="","",SUMIF(C$2:C1195,"Masuk",G$2:G1195)-SUMIF(C$2:C1195,"Keluar",G$2:G1195))</f>
        <v/>
      </c>
    </row>
    <row r="1196">
      <c r="A1196" s="22" t="n"/>
      <c r="B1196" s="23" t="n"/>
      <c r="C1196" s="24" t="n"/>
      <c r="D1196" s="17" t="n"/>
      <c r="E1196" s="17" t="n"/>
      <c r="F1196" s="17" t="n"/>
      <c r="G1196" s="15" t="n"/>
      <c r="H1196" s="25">
        <f>IF(G1196="","",SUMIF(C$2:C1196,"Masuk",G$2:G1196)-SUMIF(C$2:C1196,"Keluar",G$2:G1196))</f>
        <v/>
      </c>
    </row>
    <row r="1197">
      <c r="A1197" s="26" t="n"/>
      <c r="B1197" s="27" t="n"/>
      <c r="C1197" s="28" t="n"/>
      <c r="D1197" s="29" t="n"/>
      <c r="E1197" s="29" t="n"/>
      <c r="F1197" s="29" t="n"/>
      <c r="G1197" s="30" t="n"/>
      <c r="H1197" s="31">
        <f>IF(G1197="","",SUMIF(C$2:C1197,"Masuk",G$2:G1197)-SUMIF(C$2:C1197,"Keluar",G$2:G1197))</f>
        <v/>
      </c>
    </row>
    <row r="1198">
      <c r="A1198" s="22" t="n"/>
      <c r="B1198" s="23" t="n"/>
      <c r="C1198" s="24" t="n"/>
      <c r="D1198" s="17" t="n"/>
      <c r="E1198" s="17" t="n"/>
      <c r="F1198" s="17" t="n"/>
      <c r="G1198" s="15" t="n"/>
      <c r="H1198" s="25">
        <f>IF(G1198="","",SUMIF(C$2:C1198,"Masuk",G$2:G1198)-SUMIF(C$2:C1198,"Keluar",G$2:G1198))</f>
        <v/>
      </c>
    </row>
    <row r="1199">
      <c r="A1199" s="26" t="n"/>
      <c r="B1199" s="27" t="n"/>
      <c r="C1199" s="28" t="n"/>
      <c r="D1199" s="29" t="n"/>
      <c r="E1199" s="29" t="n"/>
      <c r="F1199" s="29" t="n"/>
      <c r="G1199" s="30" t="n"/>
      <c r="H1199" s="31">
        <f>IF(G1199="","",SUMIF(C$2:C1199,"Masuk",G$2:G1199)-SUMIF(C$2:C1199,"Keluar",G$2:G1199))</f>
        <v/>
      </c>
    </row>
    <row r="1200">
      <c r="A1200" s="22" t="n"/>
      <c r="B1200" s="23" t="n"/>
      <c r="C1200" s="24" t="n"/>
      <c r="D1200" s="17" t="n"/>
      <c r="E1200" s="17" t="n"/>
      <c r="F1200" s="17" t="n"/>
      <c r="G1200" s="15" t="n"/>
      <c r="H1200" s="25">
        <f>IF(G1200="","",SUMIF(C$2:C1200,"Masuk",G$2:G1200)-SUMIF(C$2:C1200,"Keluar",G$2:G1200))</f>
        <v/>
      </c>
    </row>
    <row r="1201">
      <c r="A1201" s="26" t="n"/>
      <c r="B1201" s="27" t="n"/>
      <c r="C1201" s="28" t="n"/>
      <c r="D1201" s="29" t="n"/>
      <c r="E1201" s="29" t="n"/>
      <c r="F1201" s="29" t="n"/>
      <c r="G1201" s="30" t="n"/>
      <c r="H1201" s="31">
        <f>IF(G1201="","",SUMIF(C$2:C1201,"Masuk",G$2:G1201)-SUMIF(C$2:C1201,"Keluar",G$2:G1201))</f>
        <v/>
      </c>
    </row>
    <row r="1202">
      <c r="A1202" s="22" t="n"/>
      <c r="B1202" s="23" t="n"/>
      <c r="C1202" s="24" t="n"/>
      <c r="D1202" s="17" t="n"/>
      <c r="E1202" s="17" t="n"/>
      <c r="F1202" s="17" t="n"/>
      <c r="G1202" s="15" t="n"/>
      <c r="H1202" s="25">
        <f>IF(G1202="","",SUMIF(C$2:C1202,"Masuk",G$2:G1202)-SUMIF(C$2:C1202,"Keluar",G$2:G1202))</f>
        <v/>
      </c>
    </row>
    <row r="1203">
      <c r="A1203" s="26" t="n"/>
      <c r="B1203" s="27" t="n"/>
      <c r="C1203" s="28" t="n"/>
      <c r="D1203" s="29" t="n"/>
      <c r="E1203" s="29" t="n"/>
      <c r="F1203" s="29" t="n"/>
      <c r="G1203" s="30" t="n"/>
      <c r="H1203" s="31">
        <f>IF(G1203="","",SUMIF(C$2:C1203,"Masuk",G$2:G1203)-SUMIF(C$2:C1203,"Keluar",G$2:G1203))</f>
        <v/>
      </c>
    </row>
    <row r="1204">
      <c r="A1204" s="22" t="n"/>
      <c r="B1204" s="23" t="n"/>
      <c r="C1204" s="24" t="n"/>
      <c r="D1204" s="17" t="n"/>
      <c r="E1204" s="17" t="n"/>
      <c r="F1204" s="17" t="n"/>
      <c r="G1204" s="15" t="n"/>
      <c r="H1204" s="25">
        <f>IF(G1204="","",SUMIF(C$2:C1204,"Masuk",G$2:G1204)-SUMIF(C$2:C1204,"Keluar",G$2:G1204))</f>
        <v/>
      </c>
    </row>
    <row r="1205">
      <c r="A1205" s="26" t="n"/>
      <c r="B1205" s="27" t="n"/>
      <c r="C1205" s="28" t="n"/>
      <c r="D1205" s="29" t="n"/>
      <c r="E1205" s="29" t="n"/>
      <c r="F1205" s="29" t="n"/>
      <c r="G1205" s="30" t="n"/>
      <c r="H1205" s="31">
        <f>IF(G1205="","",SUMIF(C$2:C1205,"Masuk",G$2:G1205)-SUMIF(C$2:C1205,"Keluar",G$2:G1205))</f>
        <v/>
      </c>
    </row>
    <row r="1206">
      <c r="A1206" s="22" t="n"/>
      <c r="B1206" s="23" t="n"/>
      <c r="C1206" s="24" t="n"/>
      <c r="D1206" s="17" t="n"/>
      <c r="E1206" s="17" t="n"/>
      <c r="F1206" s="17" t="n"/>
      <c r="G1206" s="15" t="n"/>
      <c r="H1206" s="25">
        <f>IF(G1206="","",SUMIF(C$2:C1206,"Masuk",G$2:G1206)-SUMIF(C$2:C1206,"Keluar",G$2:G1206))</f>
        <v/>
      </c>
    </row>
    <row r="1207">
      <c r="A1207" s="26" t="n"/>
      <c r="B1207" s="27" t="n"/>
      <c r="C1207" s="28" t="n"/>
      <c r="D1207" s="29" t="n"/>
      <c r="E1207" s="29" t="n"/>
      <c r="F1207" s="29" t="n"/>
      <c r="G1207" s="30" t="n"/>
      <c r="H1207" s="31">
        <f>IF(G1207="","",SUMIF(C$2:C1207,"Masuk",G$2:G1207)-SUMIF(C$2:C1207,"Keluar",G$2:G1207))</f>
        <v/>
      </c>
    </row>
    <row r="1208">
      <c r="A1208" s="22" t="n"/>
      <c r="B1208" s="23" t="n"/>
      <c r="C1208" s="24" t="n"/>
      <c r="D1208" s="17" t="n"/>
      <c r="E1208" s="17" t="n"/>
      <c r="F1208" s="17" t="n"/>
      <c r="G1208" s="15" t="n"/>
      <c r="H1208" s="25">
        <f>IF(G1208="","",SUMIF(C$2:C1208,"Masuk",G$2:G1208)-SUMIF(C$2:C1208,"Keluar",G$2:G1208))</f>
        <v/>
      </c>
    </row>
    <row r="1209">
      <c r="A1209" s="26" t="n"/>
      <c r="B1209" s="27" t="n"/>
      <c r="C1209" s="28" t="n"/>
      <c r="D1209" s="29" t="n"/>
      <c r="E1209" s="29" t="n"/>
      <c r="F1209" s="29" t="n"/>
      <c r="G1209" s="30" t="n"/>
      <c r="H1209" s="31">
        <f>IF(G1209="","",SUMIF(C$2:C1209,"Masuk",G$2:G1209)-SUMIF(C$2:C1209,"Keluar",G$2:G1209))</f>
        <v/>
      </c>
    </row>
    <row r="1210">
      <c r="A1210" s="22" t="n"/>
      <c r="B1210" s="23" t="n"/>
      <c r="C1210" s="24" t="n"/>
      <c r="D1210" s="17" t="n"/>
      <c r="E1210" s="17" t="n"/>
      <c r="F1210" s="17" t="n"/>
      <c r="G1210" s="15" t="n"/>
      <c r="H1210" s="25">
        <f>IF(G1210="","",SUMIF(C$2:C1210,"Masuk",G$2:G1210)-SUMIF(C$2:C1210,"Keluar",G$2:G1210))</f>
        <v/>
      </c>
    </row>
    <row r="1211">
      <c r="A1211" s="26" t="n"/>
      <c r="B1211" s="27" t="n"/>
      <c r="C1211" s="28" t="n"/>
      <c r="D1211" s="29" t="n"/>
      <c r="E1211" s="29" t="n"/>
      <c r="F1211" s="29" t="n"/>
      <c r="G1211" s="30" t="n"/>
      <c r="H1211" s="31">
        <f>IF(G1211="","",SUMIF(C$2:C1211,"Masuk",G$2:G1211)-SUMIF(C$2:C1211,"Keluar",G$2:G1211))</f>
        <v/>
      </c>
    </row>
    <row r="1212">
      <c r="A1212" s="22" t="n"/>
      <c r="B1212" s="23" t="n"/>
      <c r="C1212" s="24" t="n"/>
      <c r="D1212" s="17" t="n"/>
      <c r="E1212" s="17" t="n"/>
      <c r="F1212" s="17" t="n"/>
      <c r="G1212" s="15" t="n"/>
      <c r="H1212" s="25">
        <f>IF(G1212="","",SUMIF(C$2:C1212,"Masuk",G$2:G1212)-SUMIF(C$2:C1212,"Keluar",G$2:G1212))</f>
        <v/>
      </c>
    </row>
    <row r="1213">
      <c r="A1213" s="26" t="n"/>
      <c r="B1213" s="27" t="n"/>
      <c r="C1213" s="28" t="n"/>
      <c r="D1213" s="29" t="n"/>
      <c r="E1213" s="29" t="n"/>
      <c r="F1213" s="29" t="n"/>
      <c r="G1213" s="30" t="n"/>
      <c r="H1213" s="31">
        <f>IF(G1213="","",SUMIF(C$2:C1213,"Masuk",G$2:G1213)-SUMIF(C$2:C1213,"Keluar",G$2:G1213))</f>
        <v/>
      </c>
    </row>
    <row r="1214">
      <c r="A1214" s="22" t="n"/>
      <c r="B1214" s="23" t="n"/>
      <c r="C1214" s="24" t="n"/>
      <c r="D1214" s="17" t="n"/>
      <c r="E1214" s="17" t="n"/>
      <c r="F1214" s="17" t="n"/>
      <c r="G1214" s="15" t="n"/>
      <c r="H1214" s="25">
        <f>IF(G1214="","",SUMIF(C$2:C1214,"Masuk",G$2:G1214)-SUMIF(C$2:C1214,"Keluar",G$2:G1214))</f>
        <v/>
      </c>
    </row>
    <row r="1215">
      <c r="A1215" s="26" t="n"/>
      <c r="B1215" s="27" t="n"/>
      <c r="C1215" s="28" t="n"/>
      <c r="D1215" s="29" t="n"/>
      <c r="E1215" s="29" t="n"/>
      <c r="F1215" s="29" t="n"/>
      <c r="G1215" s="30" t="n"/>
      <c r="H1215" s="31">
        <f>IF(G1215="","",SUMIF(C$2:C1215,"Masuk",G$2:G1215)-SUMIF(C$2:C1215,"Keluar",G$2:G1215))</f>
        <v/>
      </c>
    </row>
    <row r="1216">
      <c r="A1216" s="22" t="n"/>
      <c r="B1216" s="23" t="n"/>
      <c r="C1216" s="24" t="n"/>
      <c r="D1216" s="17" t="n"/>
      <c r="E1216" s="17" t="n"/>
      <c r="F1216" s="17" t="n"/>
      <c r="G1216" s="15" t="n"/>
      <c r="H1216" s="25">
        <f>IF(G1216="","",SUMIF(C$2:C1216,"Masuk",G$2:G1216)-SUMIF(C$2:C1216,"Keluar",G$2:G1216))</f>
        <v/>
      </c>
    </row>
    <row r="1217">
      <c r="A1217" s="26" t="n"/>
      <c r="B1217" s="27" t="n"/>
      <c r="C1217" s="28" t="n"/>
      <c r="D1217" s="29" t="n"/>
      <c r="E1217" s="29" t="n"/>
      <c r="F1217" s="29" t="n"/>
      <c r="G1217" s="30" t="n"/>
      <c r="H1217" s="31">
        <f>IF(G1217="","",SUMIF(C$2:C1217,"Masuk",G$2:G1217)-SUMIF(C$2:C1217,"Keluar",G$2:G1217))</f>
        <v/>
      </c>
    </row>
    <row r="1218">
      <c r="A1218" s="22" t="n"/>
      <c r="B1218" s="23" t="n"/>
      <c r="C1218" s="24" t="n"/>
      <c r="D1218" s="17" t="n"/>
      <c r="E1218" s="17" t="n"/>
      <c r="F1218" s="17" t="n"/>
      <c r="G1218" s="15" t="n"/>
      <c r="H1218" s="25">
        <f>IF(G1218="","",SUMIF(C$2:C1218,"Masuk",G$2:G1218)-SUMIF(C$2:C1218,"Keluar",G$2:G1218))</f>
        <v/>
      </c>
    </row>
    <row r="1219">
      <c r="A1219" s="26" t="n"/>
      <c r="B1219" s="27" t="n"/>
      <c r="C1219" s="28" t="n"/>
      <c r="D1219" s="29" t="n"/>
      <c r="E1219" s="29" t="n"/>
      <c r="F1219" s="29" t="n"/>
      <c r="G1219" s="30" t="n"/>
      <c r="H1219" s="31">
        <f>IF(G1219="","",SUMIF(C$2:C1219,"Masuk",G$2:G1219)-SUMIF(C$2:C1219,"Keluar",G$2:G1219))</f>
        <v/>
      </c>
    </row>
    <row r="1220">
      <c r="A1220" s="22" t="n"/>
      <c r="B1220" s="23" t="n"/>
      <c r="C1220" s="24" t="n"/>
      <c r="D1220" s="17" t="n"/>
      <c r="E1220" s="17" t="n"/>
      <c r="F1220" s="17" t="n"/>
      <c r="G1220" s="15" t="n"/>
      <c r="H1220" s="25">
        <f>IF(G1220="","",SUMIF(C$2:C1220,"Masuk",G$2:G1220)-SUMIF(C$2:C1220,"Keluar",G$2:G1220))</f>
        <v/>
      </c>
    </row>
    <row r="1221">
      <c r="A1221" s="26" t="n"/>
      <c r="B1221" s="27" t="n"/>
      <c r="C1221" s="28" t="n"/>
      <c r="D1221" s="29" t="n"/>
      <c r="E1221" s="29" t="n"/>
      <c r="F1221" s="29" t="n"/>
      <c r="G1221" s="30" t="n"/>
      <c r="H1221" s="31">
        <f>IF(G1221="","",SUMIF(C$2:C1221,"Masuk",G$2:G1221)-SUMIF(C$2:C1221,"Keluar",G$2:G1221))</f>
        <v/>
      </c>
    </row>
    <row r="1222">
      <c r="A1222" s="22" t="n"/>
      <c r="B1222" s="23" t="n"/>
      <c r="C1222" s="24" t="n"/>
      <c r="D1222" s="17" t="n"/>
      <c r="E1222" s="17" t="n"/>
      <c r="F1222" s="17" t="n"/>
      <c r="G1222" s="15" t="n"/>
      <c r="H1222" s="25">
        <f>IF(G1222="","",SUMIF(C$2:C1222,"Masuk",G$2:G1222)-SUMIF(C$2:C1222,"Keluar",G$2:G1222))</f>
        <v/>
      </c>
    </row>
    <row r="1223">
      <c r="A1223" s="26" t="n"/>
      <c r="B1223" s="27" t="n"/>
      <c r="C1223" s="28" t="n"/>
      <c r="D1223" s="29" t="n"/>
      <c r="E1223" s="29" t="n"/>
      <c r="F1223" s="29" t="n"/>
      <c r="G1223" s="30" t="n"/>
      <c r="H1223" s="31">
        <f>IF(G1223="","",SUMIF(C$2:C1223,"Masuk",G$2:G1223)-SUMIF(C$2:C1223,"Keluar",G$2:G1223))</f>
        <v/>
      </c>
    </row>
    <row r="1224">
      <c r="A1224" s="22" t="n"/>
      <c r="B1224" s="23" t="n"/>
      <c r="C1224" s="24" t="n"/>
      <c r="D1224" s="17" t="n"/>
      <c r="E1224" s="17" t="n"/>
      <c r="F1224" s="17" t="n"/>
      <c r="G1224" s="15" t="n"/>
      <c r="H1224" s="25">
        <f>IF(G1224="","",SUMIF(C$2:C1224,"Masuk",G$2:G1224)-SUMIF(C$2:C1224,"Keluar",G$2:G1224))</f>
        <v/>
      </c>
    </row>
    <row r="1225">
      <c r="A1225" s="26" t="n"/>
      <c r="B1225" s="27" t="n"/>
      <c r="C1225" s="28" t="n"/>
      <c r="D1225" s="29" t="n"/>
      <c r="E1225" s="29" t="n"/>
      <c r="F1225" s="29" t="n"/>
      <c r="G1225" s="30" t="n"/>
      <c r="H1225" s="31">
        <f>IF(G1225="","",SUMIF(C$2:C1225,"Masuk",G$2:G1225)-SUMIF(C$2:C1225,"Keluar",G$2:G1225))</f>
        <v/>
      </c>
    </row>
    <row r="1226">
      <c r="A1226" s="22" t="n"/>
      <c r="B1226" s="23" t="n"/>
      <c r="C1226" s="24" t="n"/>
      <c r="D1226" s="17" t="n"/>
      <c r="E1226" s="17" t="n"/>
      <c r="F1226" s="17" t="n"/>
      <c r="G1226" s="15" t="n"/>
      <c r="H1226" s="25">
        <f>IF(G1226="","",SUMIF(C$2:C1226,"Masuk",G$2:G1226)-SUMIF(C$2:C1226,"Keluar",G$2:G1226))</f>
        <v/>
      </c>
    </row>
    <row r="1227">
      <c r="A1227" s="26" t="n"/>
      <c r="B1227" s="27" t="n"/>
      <c r="C1227" s="28" t="n"/>
      <c r="D1227" s="29" t="n"/>
      <c r="E1227" s="29" t="n"/>
      <c r="F1227" s="29" t="n"/>
      <c r="G1227" s="30" t="n"/>
      <c r="H1227" s="31">
        <f>IF(G1227="","",SUMIF(C$2:C1227,"Masuk",G$2:G1227)-SUMIF(C$2:C1227,"Keluar",G$2:G1227))</f>
        <v/>
      </c>
    </row>
    <row r="1228">
      <c r="A1228" s="22" t="n"/>
      <c r="B1228" s="23" t="n"/>
      <c r="C1228" s="24" t="n"/>
      <c r="D1228" s="17" t="n"/>
      <c r="E1228" s="17" t="n"/>
      <c r="F1228" s="17" t="n"/>
      <c r="G1228" s="15" t="n"/>
      <c r="H1228" s="25">
        <f>IF(G1228="","",SUMIF(C$2:C1228,"Masuk",G$2:G1228)-SUMIF(C$2:C1228,"Keluar",G$2:G1228))</f>
        <v/>
      </c>
    </row>
    <row r="1229">
      <c r="A1229" s="26" t="n"/>
      <c r="B1229" s="27" t="n"/>
      <c r="C1229" s="28" t="n"/>
      <c r="D1229" s="29" t="n"/>
      <c r="E1229" s="29" t="n"/>
      <c r="F1229" s="29" t="n"/>
      <c r="G1229" s="30" t="n"/>
      <c r="H1229" s="31">
        <f>IF(G1229="","",SUMIF(C$2:C1229,"Masuk",G$2:G1229)-SUMIF(C$2:C1229,"Keluar",G$2:G1229))</f>
        <v/>
      </c>
    </row>
    <row r="1230">
      <c r="A1230" s="22" t="n"/>
      <c r="B1230" s="23" t="n"/>
      <c r="C1230" s="24" t="n"/>
      <c r="D1230" s="17" t="n"/>
      <c r="E1230" s="17" t="n"/>
      <c r="F1230" s="17" t="n"/>
      <c r="G1230" s="15" t="n"/>
      <c r="H1230" s="25">
        <f>IF(G1230="","",SUMIF(C$2:C1230,"Masuk",G$2:G1230)-SUMIF(C$2:C1230,"Keluar",G$2:G1230))</f>
        <v/>
      </c>
    </row>
    <row r="1231">
      <c r="A1231" s="26" t="n"/>
      <c r="B1231" s="27" t="n"/>
      <c r="C1231" s="28" t="n"/>
      <c r="D1231" s="29" t="n"/>
      <c r="E1231" s="29" t="n"/>
      <c r="F1231" s="29" t="n"/>
      <c r="G1231" s="30" t="n"/>
      <c r="H1231" s="31">
        <f>IF(G1231="","",SUMIF(C$2:C1231,"Masuk",G$2:G1231)-SUMIF(C$2:C1231,"Keluar",G$2:G1231))</f>
        <v/>
      </c>
    </row>
    <row r="1232">
      <c r="A1232" s="22" t="n"/>
      <c r="B1232" s="23" t="n"/>
      <c r="C1232" s="24" t="n"/>
      <c r="D1232" s="17" t="n"/>
      <c r="E1232" s="17" t="n"/>
      <c r="F1232" s="17" t="n"/>
      <c r="G1232" s="15" t="n"/>
      <c r="H1232" s="25">
        <f>IF(G1232="","",SUMIF(C$2:C1232,"Masuk",G$2:G1232)-SUMIF(C$2:C1232,"Keluar",G$2:G1232))</f>
        <v/>
      </c>
    </row>
    <row r="1233">
      <c r="A1233" s="26" t="n"/>
      <c r="B1233" s="27" t="n"/>
      <c r="C1233" s="28" t="n"/>
      <c r="D1233" s="29" t="n"/>
      <c r="E1233" s="29" t="n"/>
      <c r="F1233" s="29" t="n"/>
      <c r="G1233" s="30" t="n"/>
      <c r="H1233" s="31">
        <f>IF(G1233="","",SUMIF(C$2:C1233,"Masuk",G$2:G1233)-SUMIF(C$2:C1233,"Keluar",G$2:G1233))</f>
        <v/>
      </c>
    </row>
    <row r="1234">
      <c r="A1234" s="22" t="n"/>
      <c r="B1234" s="23" t="n"/>
      <c r="C1234" s="24" t="n"/>
      <c r="D1234" s="17" t="n"/>
      <c r="E1234" s="17" t="n"/>
      <c r="F1234" s="17" t="n"/>
      <c r="G1234" s="15" t="n"/>
      <c r="H1234" s="25">
        <f>IF(G1234="","",SUMIF(C$2:C1234,"Masuk",G$2:G1234)-SUMIF(C$2:C1234,"Keluar",G$2:G1234))</f>
        <v/>
      </c>
    </row>
    <row r="1235">
      <c r="A1235" s="26" t="n"/>
      <c r="B1235" s="27" t="n"/>
      <c r="C1235" s="28" t="n"/>
      <c r="D1235" s="29" t="n"/>
      <c r="E1235" s="29" t="n"/>
      <c r="F1235" s="29" t="n"/>
      <c r="G1235" s="30" t="n"/>
      <c r="H1235" s="31">
        <f>IF(G1235="","",SUMIF(C$2:C1235,"Masuk",G$2:G1235)-SUMIF(C$2:C1235,"Keluar",G$2:G1235))</f>
        <v/>
      </c>
    </row>
    <row r="1236">
      <c r="A1236" s="22" t="n"/>
      <c r="B1236" s="23" t="n"/>
      <c r="C1236" s="24" t="n"/>
      <c r="D1236" s="17" t="n"/>
      <c r="E1236" s="17" t="n"/>
      <c r="F1236" s="17" t="n"/>
      <c r="G1236" s="15" t="n"/>
      <c r="H1236" s="25">
        <f>IF(G1236="","",SUMIF(C$2:C1236,"Masuk",G$2:G1236)-SUMIF(C$2:C1236,"Keluar",G$2:G1236))</f>
        <v/>
      </c>
    </row>
    <row r="1237">
      <c r="A1237" s="26" t="n"/>
      <c r="B1237" s="27" t="n"/>
      <c r="C1237" s="28" t="n"/>
      <c r="D1237" s="29" t="n"/>
      <c r="E1237" s="29" t="n"/>
      <c r="F1237" s="29" t="n"/>
      <c r="G1237" s="30" t="n"/>
      <c r="H1237" s="31">
        <f>IF(G1237="","",SUMIF(C$2:C1237,"Masuk",G$2:G1237)-SUMIF(C$2:C1237,"Keluar",G$2:G1237))</f>
        <v/>
      </c>
    </row>
    <row r="1238">
      <c r="A1238" s="22" t="n"/>
      <c r="B1238" s="23" t="n"/>
      <c r="C1238" s="24" t="n"/>
      <c r="D1238" s="17" t="n"/>
      <c r="E1238" s="17" t="n"/>
      <c r="F1238" s="17" t="n"/>
      <c r="G1238" s="15" t="n"/>
      <c r="H1238" s="25">
        <f>IF(G1238="","",SUMIF(C$2:C1238,"Masuk",G$2:G1238)-SUMIF(C$2:C1238,"Keluar",G$2:G1238))</f>
        <v/>
      </c>
    </row>
    <row r="1239">
      <c r="A1239" s="26" t="n"/>
      <c r="B1239" s="27" t="n"/>
      <c r="C1239" s="28" t="n"/>
      <c r="D1239" s="29" t="n"/>
      <c r="E1239" s="29" t="n"/>
      <c r="F1239" s="29" t="n"/>
      <c r="G1239" s="30" t="n"/>
      <c r="H1239" s="31">
        <f>IF(G1239="","",SUMIF(C$2:C1239,"Masuk",G$2:G1239)-SUMIF(C$2:C1239,"Keluar",G$2:G1239))</f>
        <v/>
      </c>
    </row>
    <row r="1240">
      <c r="A1240" s="22" t="n"/>
      <c r="B1240" s="23" t="n"/>
      <c r="C1240" s="24" t="n"/>
      <c r="D1240" s="17" t="n"/>
      <c r="E1240" s="17" t="n"/>
      <c r="F1240" s="17" t="n"/>
      <c r="G1240" s="15" t="n"/>
      <c r="H1240" s="25">
        <f>IF(G1240="","",SUMIF(C$2:C1240,"Masuk",G$2:G1240)-SUMIF(C$2:C1240,"Keluar",G$2:G1240))</f>
        <v/>
      </c>
    </row>
    <row r="1241">
      <c r="A1241" s="26" t="n"/>
      <c r="B1241" s="27" t="n"/>
      <c r="C1241" s="28" t="n"/>
      <c r="D1241" s="29" t="n"/>
      <c r="E1241" s="29" t="n"/>
      <c r="F1241" s="29" t="n"/>
      <c r="G1241" s="30" t="n"/>
      <c r="H1241" s="31">
        <f>IF(G1241="","",SUMIF(C$2:C1241,"Masuk",G$2:G1241)-SUMIF(C$2:C1241,"Keluar",G$2:G1241))</f>
        <v/>
      </c>
    </row>
    <row r="1242">
      <c r="A1242" s="22" t="n"/>
      <c r="B1242" s="23" t="n"/>
      <c r="C1242" s="24" t="n"/>
      <c r="D1242" s="17" t="n"/>
      <c r="E1242" s="17" t="n"/>
      <c r="F1242" s="17" t="n"/>
      <c r="G1242" s="15" t="n"/>
      <c r="H1242" s="25">
        <f>IF(G1242="","",SUMIF(C$2:C1242,"Masuk",G$2:G1242)-SUMIF(C$2:C1242,"Keluar",G$2:G1242))</f>
        <v/>
      </c>
    </row>
    <row r="1243">
      <c r="A1243" s="26" t="n"/>
      <c r="B1243" s="27" t="n"/>
      <c r="C1243" s="28" t="n"/>
      <c r="D1243" s="29" t="n"/>
      <c r="E1243" s="29" t="n"/>
      <c r="F1243" s="29" t="n"/>
      <c r="G1243" s="30" t="n"/>
      <c r="H1243" s="31">
        <f>IF(G1243="","",SUMIF(C$2:C1243,"Masuk",G$2:G1243)-SUMIF(C$2:C1243,"Keluar",G$2:G1243))</f>
        <v/>
      </c>
    </row>
    <row r="1244">
      <c r="A1244" s="22" t="n"/>
      <c r="B1244" s="23" t="n"/>
      <c r="C1244" s="24" t="n"/>
      <c r="D1244" s="17" t="n"/>
      <c r="E1244" s="17" t="n"/>
      <c r="F1244" s="17" t="n"/>
      <c r="G1244" s="15" t="n"/>
      <c r="H1244" s="25">
        <f>IF(G1244="","",SUMIF(C$2:C1244,"Masuk",G$2:G1244)-SUMIF(C$2:C1244,"Keluar",G$2:G1244))</f>
        <v/>
      </c>
    </row>
    <row r="1245">
      <c r="A1245" s="26" t="n"/>
      <c r="B1245" s="27" t="n"/>
      <c r="C1245" s="28" t="n"/>
      <c r="D1245" s="29" t="n"/>
      <c r="E1245" s="29" t="n"/>
      <c r="F1245" s="29" t="n"/>
      <c r="G1245" s="30" t="n"/>
      <c r="H1245" s="31">
        <f>IF(G1245="","",SUMIF(C$2:C1245,"Masuk",G$2:G1245)-SUMIF(C$2:C1245,"Keluar",G$2:G1245))</f>
        <v/>
      </c>
    </row>
    <row r="1246">
      <c r="A1246" s="22" t="n"/>
      <c r="B1246" s="23" t="n"/>
      <c r="C1246" s="24" t="n"/>
      <c r="D1246" s="17" t="n"/>
      <c r="E1246" s="17" t="n"/>
      <c r="F1246" s="17" t="n"/>
      <c r="G1246" s="15" t="n"/>
      <c r="H1246" s="25">
        <f>IF(G1246="","",SUMIF(C$2:C1246,"Masuk",G$2:G1246)-SUMIF(C$2:C1246,"Keluar",G$2:G1246))</f>
        <v/>
      </c>
    </row>
    <row r="1247">
      <c r="A1247" s="26" t="n"/>
      <c r="B1247" s="27" t="n"/>
      <c r="C1247" s="28" t="n"/>
      <c r="D1247" s="29" t="n"/>
      <c r="E1247" s="29" t="n"/>
      <c r="F1247" s="29" t="n"/>
      <c r="G1247" s="30" t="n"/>
      <c r="H1247" s="31">
        <f>IF(G1247="","",SUMIF(C$2:C1247,"Masuk",G$2:G1247)-SUMIF(C$2:C1247,"Keluar",G$2:G1247))</f>
        <v/>
      </c>
    </row>
    <row r="1248">
      <c r="A1248" s="22" t="n"/>
      <c r="B1248" s="23" t="n"/>
      <c r="C1248" s="24" t="n"/>
      <c r="D1248" s="17" t="n"/>
      <c r="E1248" s="17" t="n"/>
      <c r="F1248" s="17" t="n"/>
      <c r="G1248" s="15" t="n"/>
      <c r="H1248" s="25">
        <f>IF(G1248="","",SUMIF(C$2:C1248,"Masuk",G$2:G1248)-SUMIF(C$2:C1248,"Keluar",G$2:G1248))</f>
        <v/>
      </c>
    </row>
    <row r="1249">
      <c r="A1249" s="26" t="n"/>
      <c r="B1249" s="27" t="n"/>
      <c r="C1249" s="28" t="n"/>
      <c r="D1249" s="29" t="n"/>
      <c r="E1249" s="29" t="n"/>
      <c r="F1249" s="29" t="n"/>
      <c r="G1249" s="30" t="n"/>
      <c r="H1249" s="31">
        <f>IF(G1249="","",SUMIF(C$2:C1249,"Masuk",G$2:G1249)-SUMIF(C$2:C1249,"Keluar",G$2:G1249))</f>
        <v/>
      </c>
    </row>
    <row r="1250">
      <c r="A1250" s="22" t="n"/>
      <c r="B1250" s="23" t="n"/>
      <c r="C1250" s="24" t="n"/>
      <c r="D1250" s="17" t="n"/>
      <c r="E1250" s="17" t="n"/>
      <c r="F1250" s="17" t="n"/>
      <c r="G1250" s="15" t="n"/>
      <c r="H1250" s="25">
        <f>IF(G1250="","",SUMIF(C$2:C1250,"Masuk",G$2:G1250)-SUMIF(C$2:C1250,"Keluar",G$2:G1250))</f>
        <v/>
      </c>
    </row>
    <row r="1251">
      <c r="A1251" s="26" t="n"/>
      <c r="B1251" s="27" t="n"/>
      <c r="C1251" s="28" t="n"/>
      <c r="D1251" s="29" t="n"/>
      <c r="E1251" s="29" t="n"/>
      <c r="F1251" s="29" t="n"/>
      <c r="G1251" s="30" t="n"/>
      <c r="H1251" s="31">
        <f>IF(G1251="","",SUMIF(C$2:C1251,"Masuk",G$2:G1251)-SUMIF(C$2:C1251,"Keluar",G$2:G1251))</f>
        <v/>
      </c>
    </row>
    <row r="1252">
      <c r="A1252" s="22" t="n"/>
      <c r="B1252" s="23" t="n"/>
      <c r="C1252" s="24" t="n"/>
      <c r="D1252" s="17" t="n"/>
      <c r="E1252" s="17" t="n"/>
      <c r="F1252" s="17" t="n"/>
      <c r="G1252" s="15" t="n"/>
      <c r="H1252" s="25">
        <f>IF(G1252="","",SUMIF(C$2:C1252,"Masuk",G$2:G1252)-SUMIF(C$2:C1252,"Keluar",G$2:G1252))</f>
        <v/>
      </c>
    </row>
    <row r="1253">
      <c r="A1253" s="26" t="n"/>
      <c r="B1253" s="27" t="n"/>
      <c r="C1253" s="28" t="n"/>
      <c r="D1253" s="29" t="n"/>
      <c r="E1253" s="29" t="n"/>
      <c r="F1253" s="29" t="n"/>
      <c r="G1253" s="30" t="n"/>
      <c r="H1253" s="31">
        <f>IF(G1253="","",SUMIF(C$2:C1253,"Masuk",G$2:G1253)-SUMIF(C$2:C1253,"Keluar",G$2:G1253))</f>
        <v/>
      </c>
    </row>
    <row r="1254">
      <c r="A1254" s="22" t="n"/>
      <c r="B1254" s="23" t="n"/>
      <c r="C1254" s="24" t="n"/>
      <c r="D1254" s="17" t="n"/>
      <c r="E1254" s="17" t="n"/>
      <c r="F1254" s="17" t="n"/>
      <c r="G1254" s="15" t="n"/>
      <c r="H1254" s="25">
        <f>IF(G1254="","",SUMIF(C$2:C1254,"Masuk",G$2:G1254)-SUMIF(C$2:C1254,"Keluar",G$2:G1254))</f>
        <v/>
      </c>
    </row>
    <row r="1255">
      <c r="A1255" s="26" t="n"/>
      <c r="B1255" s="27" t="n"/>
      <c r="C1255" s="28" t="n"/>
      <c r="D1255" s="29" t="n"/>
      <c r="E1255" s="29" t="n"/>
      <c r="F1255" s="29" t="n"/>
      <c r="G1255" s="30" t="n"/>
      <c r="H1255" s="31">
        <f>IF(G1255="","",SUMIF(C$2:C1255,"Masuk",G$2:G1255)-SUMIF(C$2:C1255,"Keluar",G$2:G1255))</f>
        <v/>
      </c>
    </row>
    <row r="1256">
      <c r="A1256" s="22" t="n"/>
      <c r="B1256" s="23" t="n"/>
      <c r="C1256" s="24" t="n"/>
      <c r="D1256" s="17" t="n"/>
      <c r="E1256" s="17" t="n"/>
      <c r="F1256" s="17" t="n"/>
      <c r="G1256" s="15" t="n"/>
      <c r="H1256" s="25">
        <f>IF(G1256="","",SUMIF(C$2:C1256,"Masuk",G$2:G1256)-SUMIF(C$2:C1256,"Keluar",G$2:G1256))</f>
        <v/>
      </c>
    </row>
    <row r="1257">
      <c r="A1257" s="26" t="n"/>
      <c r="B1257" s="27" t="n"/>
      <c r="C1257" s="28" t="n"/>
      <c r="D1257" s="29" t="n"/>
      <c r="E1257" s="29" t="n"/>
      <c r="F1257" s="29" t="n"/>
      <c r="G1257" s="30" t="n"/>
      <c r="H1257" s="31">
        <f>IF(G1257="","",SUMIF(C$2:C1257,"Masuk",G$2:G1257)-SUMIF(C$2:C1257,"Keluar",G$2:G1257))</f>
        <v/>
      </c>
    </row>
    <row r="1258">
      <c r="A1258" s="22" t="n"/>
      <c r="B1258" s="23" t="n"/>
      <c r="C1258" s="24" t="n"/>
      <c r="D1258" s="17" t="n"/>
      <c r="E1258" s="17" t="n"/>
      <c r="F1258" s="17" t="n"/>
      <c r="G1258" s="15" t="n"/>
      <c r="H1258" s="25">
        <f>IF(G1258="","",SUMIF(C$2:C1258,"Masuk",G$2:G1258)-SUMIF(C$2:C1258,"Keluar",G$2:G1258))</f>
        <v/>
      </c>
    </row>
    <row r="1259">
      <c r="A1259" s="26" t="n"/>
      <c r="B1259" s="27" t="n"/>
      <c r="C1259" s="28" t="n"/>
      <c r="D1259" s="29" t="n"/>
      <c r="E1259" s="29" t="n"/>
      <c r="F1259" s="29" t="n"/>
      <c r="G1259" s="30" t="n"/>
      <c r="H1259" s="31">
        <f>IF(G1259="","",SUMIF(C$2:C1259,"Masuk",G$2:G1259)-SUMIF(C$2:C1259,"Keluar",G$2:G1259))</f>
        <v/>
      </c>
    </row>
    <row r="1260">
      <c r="A1260" s="22" t="n"/>
      <c r="B1260" s="23" t="n"/>
      <c r="C1260" s="24" t="n"/>
      <c r="D1260" s="17" t="n"/>
      <c r="E1260" s="17" t="n"/>
      <c r="F1260" s="17" t="n"/>
      <c r="G1260" s="15" t="n"/>
      <c r="H1260" s="25">
        <f>IF(G1260="","",SUMIF(C$2:C1260,"Masuk",G$2:G1260)-SUMIF(C$2:C1260,"Keluar",G$2:G1260))</f>
        <v/>
      </c>
    </row>
    <row r="1261">
      <c r="A1261" s="26" t="n"/>
      <c r="B1261" s="27" t="n"/>
      <c r="C1261" s="28" t="n"/>
      <c r="D1261" s="29" t="n"/>
      <c r="E1261" s="29" t="n"/>
      <c r="F1261" s="29" t="n"/>
      <c r="G1261" s="30" t="n"/>
      <c r="H1261" s="31">
        <f>IF(G1261="","",SUMIF(C$2:C1261,"Masuk",G$2:G1261)-SUMIF(C$2:C1261,"Keluar",G$2:G1261))</f>
        <v/>
      </c>
    </row>
    <row r="1262">
      <c r="A1262" s="22" t="n"/>
      <c r="B1262" s="23" t="n"/>
      <c r="C1262" s="24" t="n"/>
      <c r="D1262" s="17" t="n"/>
      <c r="E1262" s="17" t="n"/>
      <c r="F1262" s="17" t="n"/>
      <c r="G1262" s="15" t="n"/>
      <c r="H1262" s="25">
        <f>IF(G1262="","",SUMIF(C$2:C1262,"Masuk",G$2:G1262)-SUMIF(C$2:C1262,"Keluar",G$2:G1262))</f>
        <v/>
      </c>
    </row>
    <row r="1263">
      <c r="A1263" s="26" t="n"/>
      <c r="B1263" s="27" t="n"/>
      <c r="C1263" s="28" t="n"/>
      <c r="D1263" s="29" t="n"/>
      <c r="E1263" s="29" t="n"/>
      <c r="F1263" s="29" t="n"/>
      <c r="G1263" s="30" t="n"/>
      <c r="H1263" s="31">
        <f>IF(G1263="","",SUMIF(C$2:C1263,"Masuk",G$2:G1263)-SUMIF(C$2:C1263,"Keluar",G$2:G1263))</f>
        <v/>
      </c>
    </row>
    <row r="1264">
      <c r="A1264" s="22" t="n"/>
      <c r="B1264" s="23" t="n"/>
      <c r="C1264" s="24" t="n"/>
      <c r="D1264" s="17" t="n"/>
      <c r="E1264" s="17" t="n"/>
      <c r="F1264" s="17" t="n"/>
      <c r="G1264" s="15" t="n"/>
      <c r="H1264" s="25">
        <f>IF(G1264="","",SUMIF(C$2:C1264,"Masuk",G$2:G1264)-SUMIF(C$2:C1264,"Keluar",G$2:G1264))</f>
        <v/>
      </c>
    </row>
    <row r="1265">
      <c r="A1265" s="26" t="n"/>
      <c r="B1265" s="27" t="n"/>
      <c r="C1265" s="28" t="n"/>
      <c r="D1265" s="29" t="n"/>
      <c r="E1265" s="29" t="n"/>
      <c r="F1265" s="29" t="n"/>
      <c r="G1265" s="30" t="n"/>
      <c r="H1265" s="31">
        <f>IF(G1265="","",SUMIF(C$2:C1265,"Masuk",G$2:G1265)-SUMIF(C$2:C1265,"Keluar",G$2:G1265))</f>
        <v/>
      </c>
    </row>
    <row r="1266">
      <c r="A1266" s="22" t="n"/>
      <c r="B1266" s="23" t="n"/>
      <c r="C1266" s="24" t="n"/>
      <c r="D1266" s="17" t="n"/>
      <c r="E1266" s="17" t="n"/>
      <c r="F1266" s="17" t="n"/>
      <c r="G1266" s="15" t="n"/>
      <c r="H1266" s="25">
        <f>IF(G1266="","",SUMIF(C$2:C1266,"Masuk",G$2:G1266)-SUMIF(C$2:C1266,"Keluar",G$2:G1266))</f>
        <v/>
      </c>
    </row>
    <row r="1267">
      <c r="A1267" s="26" t="n"/>
      <c r="B1267" s="27" t="n"/>
      <c r="C1267" s="28" t="n"/>
      <c r="D1267" s="29" t="n"/>
      <c r="E1267" s="29" t="n"/>
      <c r="F1267" s="29" t="n"/>
      <c r="G1267" s="30" t="n"/>
      <c r="H1267" s="31">
        <f>IF(G1267="","",SUMIF(C$2:C1267,"Masuk",G$2:G1267)-SUMIF(C$2:C1267,"Keluar",G$2:G1267))</f>
        <v/>
      </c>
    </row>
    <row r="1268">
      <c r="A1268" s="22" t="n"/>
      <c r="B1268" s="23" t="n"/>
      <c r="C1268" s="24" t="n"/>
      <c r="D1268" s="17" t="n"/>
      <c r="E1268" s="17" t="n"/>
      <c r="F1268" s="17" t="n"/>
      <c r="G1268" s="15" t="n"/>
      <c r="H1268" s="25">
        <f>IF(G1268="","",SUMIF(C$2:C1268,"Masuk",G$2:G1268)-SUMIF(C$2:C1268,"Keluar",G$2:G1268))</f>
        <v/>
      </c>
    </row>
    <row r="1269">
      <c r="A1269" s="26" t="n"/>
      <c r="B1269" s="27" t="n"/>
      <c r="C1269" s="28" t="n"/>
      <c r="D1269" s="29" t="n"/>
      <c r="E1269" s="29" t="n"/>
      <c r="F1269" s="29" t="n"/>
      <c r="G1269" s="30" t="n"/>
      <c r="H1269" s="31">
        <f>IF(G1269="","",SUMIF(C$2:C1269,"Masuk",G$2:G1269)-SUMIF(C$2:C1269,"Keluar",G$2:G1269))</f>
        <v/>
      </c>
    </row>
    <row r="1270">
      <c r="A1270" s="22" t="n"/>
      <c r="B1270" s="23" t="n"/>
      <c r="C1270" s="24" t="n"/>
      <c r="D1270" s="17" t="n"/>
      <c r="E1270" s="17" t="n"/>
      <c r="F1270" s="17" t="n"/>
      <c r="G1270" s="15" t="n"/>
      <c r="H1270" s="25">
        <f>IF(G1270="","",SUMIF(C$2:C1270,"Masuk",G$2:G1270)-SUMIF(C$2:C1270,"Keluar",G$2:G1270))</f>
        <v/>
      </c>
    </row>
    <row r="1271">
      <c r="A1271" s="26" t="n"/>
      <c r="B1271" s="27" t="n"/>
      <c r="C1271" s="28" t="n"/>
      <c r="D1271" s="29" t="n"/>
      <c r="E1271" s="29" t="n"/>
      <c r="F1271" s="29" t="n"/>
      <c r="G1271" s="30" t="n"/>
      <c r="H1271" s="31">
        <f>IF(G1271="","",SUMIF(C$2:C1271,"Masuk",G$2:G1271)-SUMIF(C$2:C1271,"Keluar",G$2:G1271))</f>
        <v/>
      </c>
    </row>
    <row r="1272">
      <c r="A1272" s="22" t="n"/>
      <c r="B1272" s="23" t="n"/>
      <c r="C1272" s="24" t="n"/>
      <c r="D1272" s="17" t="n"/>
      <c r="E1272" s="17" t="n"/>
      <c r="F1272" s="17" t="n"/>
      <c r="G1272" s="15" t="n"/>
      <c r="H1272" s="25">
        <f>IF(G1272="","",SUMIF(C$2:C1272,"Masuk",G$2:G1272)-SUMIF(C$2:C1272,"Keluar",G$2:G1272))</f>
        <v/>
      </c>
    </row>
    <row r="1273">
      <c r="A1273" s="26" t="n"/>
      <c r="B1273" s="27" t="n"/>
      <c r="C1273" s="28" t="n"/>
      <c r="D1273" s="29" t="n"/>
      <c r="E1273" s="29" t="n"/>
      <c r="F1273" s="29" t="n"/>
      <c r="G1273" s="30" t="n"/>
      <c r="H1273" s="31">
        <f>IF(G1273="","",SUMIF(C$2:C1273,"Masuk",G$2:G1273)-SUMIF(C$2:C1273,"Keluar",G$2:G1273))</f>
        <v/>
      </c>
    </row>
    <row r="1274">
      <c r="A1274" s="22" t="n"/>
      <c r="B1274" s="23" t="n"/>
      <c r="C1274" s="24" t="n"/>
      <c r="D1274" s="17" t="n"/>
      <c r="E1274" s="17" t="n"/>
      <c r="F1274" s="17" t="n"/>
      <c r="G1274" s="15" t="n"/>
      <c r="H1274" s="25">
        <f>IF(G1274="","",SUMIF(C$2:C1274,"Masuk",G$2:G1274)-SUMIF(C$2:C1274,"Keluar",G$2:G1274))</f>
        <v/>
      </c>
    </row>
    <row r="1275">
      <c r="A1275" s="26" t="n"/>
      <c r="B1275" s="27" t="n"/>
      <c r="C1275" s="28" t="n"/>
      <c r="D1275" s="29" t="n"/>
      <c r="E1275" s="29" t="n"/>
      <c r="F1275" s="29" t="n"/>
      <c r="G1275" s="30" t="n"/>
      <c r="H1275" s="31">
        <f>IF(G1275="","",SUMIF(C$2:C1275,"Masuk",G$2:G1275)-SUMIF(C$2:C1275,"Keluar",G$2:G1275))</f>
        <v/>
      </c>
    </row>
    <row r="1276">
      <c r="A1276" s="22" t="n"/>
      <c r="B1276" s="23" t="n"/>
      <c r="C1276" s="24" t="n"/>
      <c r="D1276" s="17" t="n"/>
      <c r="E1276" s="17" t="n"/>
      <c r="F1276" s="17" t="n"/>
      <c r="G1276" s="15" t="n"/>
      <c r="H1276" s="25">
        <f>IF(G1276="","",SUMIF(C$2:C1276,"Masuk",G$2:G1276)-SUMIF(C$2:C1276,"Keluar",G$2:G1276))</f>
        <v/>
      </c>
    </row>
    <row r="1277">
      <c r="A1277" s="26" t="n"/>
      <c r="B1277" s="27" t="n"/>
      <c r="C1277" s="28" t="n"/>
      <c r="D1277" s="29" t="n"/>
      <c r="E1277" s="29" t="n"/>
      <c r="F1277" s="29" t="n"/>
      <c r="G1277" s="30" t="n"/>
      <c r="H1277" s="31">
        <f>IF(G1277="","",SUMIF(C$2:C1277,"Masuk",G$2:G1277)-SUMIF(C$2:C1277,"Keluar",G$2:G1277))</f>
        <v/>
      </c>
    </row>
    <row r="1278">
      <c r="A1278" s="22" t="n"/>
      <c r="B1278" s="23" t="n"/>
      <c r="C1278" s="24" t="n"/>
      <c r="D1278" s="17" t="n"/>
      <c r="E1278" s="17" t="n"/>
      <c r="F1278" s="17" t="n"/>
      <c r="G1278" s="15" t="n"/>
      <c r="H1278" s="25">
        <f>IF(G1278="","",SUMIF(C$2:C1278,"Masuk",G$2:G1278)-SUMIF(C$2:C1278,"Keluar",G$2:G1278))</f>
        <v/>
      </c>
    </row>
    <row r="1279">
      <c r="A1279" s="26" t="n"/>
      <c r="B1279" s="27" t="n"/>
      <c r="C1279" s="28" t="n"/>
      <c r="D1279" s="29" t="n"/>
      <c r="E1279" s="29" t="n"/>
      <c r="F1279" s="29" t="n"/>
      <c r="G1279" s="30" t="n"/>
      <c r="H1279" s="31">
        <f>IF(G1279="","",SUMIF(C$2:C1279,"Masuk",G$2:G1279)-SUMIF(C$2:C1279,"Keluar",G$2:G1279))</f>
        <v/>
      </c>
    </row>
    <row r="1280">
      <c r="A1280" s="22" t="n"/>
      <c r="B1280" s="23" t="n"/>
      <c r="C1280" s="24" t="n"/>
      <c r="D1280" s="17" t="n"/>
      <c r="E1280" s="17" t="n"/>
      <c r="F1280" s="17" t="n"/>
      <c r="G1280" s="15" t="n"/>
      <c r="H1280" s="25">
        <f>IF(G1280="","",SUMIF(C$2:C1280,"Masuk",G$2:G1280)-SUMIF(C$2:C1280,"Keluar",G$2:G1280))</f>
        <v/>
      </c>
    </row>
    <row r="1281">
      <c r="A1281" s="26" t="n"/>
      <c r="B1281" s="27" t="n"/>
      <c r="C1281" s="28" t="n"/>
      <c r="D1281" s="29" t="n"/>
      <c r="E1281" s="29" t="n"/>
      <c r="F1281" s="29" t="n"/>
      <c r="G1281" s="30" t="n"/>
      <c r="H1281" s="31">
        <f>IF(G1281="","",SUMIF(C$2:C1281,"Masuk",G$2:G1281)-SUMIF(C$2:C1281,"Keluar",G$2:G1281))</f>
        <v/>
      </c>
    </row>
    <row r="1282">
      <c r="A1282" s="22" t="n"/>
      <c r="B1282" s="23" t="n"/>
      <c r="C1282" s="24" t="n"/>
      <c r="D1282" s="17" t="n"/>
      <c r="E1282" s="17" t="n"/>
      <c r="F1282" s="17" t="n"/>
      <c r="G1282" s="15" t="n"/>
      <c r="H1282" s="25">
        <f>IF(G1282="","",SUMIF(C$2:C1282,"Masuk",G$2:G1282)-SUMIF(C$2:C1282,"Keluar",G$2:G1282))</f>
        <v/>
      </c>
    </row>
    <row r="1283">
      <c r="A1283" s="26" t="n"/>
      <c r="B1283" s="27" t="n"/>
      <c r="C1283" s="28" t="n"/>
      <c r="D1283" s="29" t="n"/>
      <c r="E1283" s="29" t="n"/>
      <c r="F1283" s="29" t="n"/>
      <c r="G1283" s="30" t="n"/>
      <c r="H1283" s="31">
        <f>IF(G1283="","",SUMIF(C$2:C1283,"Masuk",G$2:G1283)-SUMIF(C$2:C1283,"Keluar",G$2:G1283))</f>
        <v/>
      </c>
    </row>
    <row r="1284">
      <c r="A1284" s="22" t="n"/>
      <c r="B1284" s="23" t="n"/>
      <c r="C1284" s="24" t="n"/>
      <c r="D1284" s="17" t="n"/>
      <c r="E1284" s="17" t="n"/>
      <c r="F1284" s="17" t="n"/>
      <c r="G1284" s="15" t="n"/>
      <c r="H1284" s="25">
        <f>IF(G1284="","",SUMIF(C$2:C1284,"Masuk",G$2:G1284)-SUMIF(C$2:C1284,"Keluar",G$2:G1284))</f>
        <v/>
      </c>
    </row>
    <row r="1285">
      <c r="A1285" s="26" t="n"/>
      <c r="B1285" s="27" t="n"/>
      <c r="C1285" s="28" t="n"/>
      <c r="D1285" s="29" t="n"/>
      <c r="E1285" s="29" t="n"/>
      <c r="F1285" s="29" t="n"/>
      <c r="G1285" s="30" t="n"/>
      <c r="H1285" s="31">
        <f>IF(G1285="","",SUMIF(C$2:C1285,"Masuk",G$2:G1285)-SUMIF(C$2:C1285,"Keluar",G$2:G1285))</f>
        <v/>
      </c>
    </row>
    <row r="1286">
      <c r="A1286" s="22" t="n"/>
      <c r="B1286" s="23" t="n"/>
      <c r="C1286" s="24" t="n"/>
      <c r="D1286" s="17" t="n"/>
      <c r="E1286" s="17" t="n"/>
      <c r="F1286" s="17" t="n"/>
      <c r="G1286" s="15" t="n"/>
      <c r="H1286" s="25">
        <f>IF(G1286="","",SUMIF(C$2:C1286,"Masuk",G$2:G1286)-SUMIF(C$2:C1286,"Keluar",G$2:G1286))</f>
        <v/>
      </c>
    </row>
    <row r="1287">
      <c r="A1287" s="26" t="n"/>
      <c r="B1287" s="27" t="n"/>
      <c r="C1287" s="28" t="n"/>
      <c r="D1287" s="29" t="n"/>
      <c r="E1287" s="29" t="n"/>
      <c r="F1287" s="29" t="n"/>
      <c r="G1287" s="30" t="n"/>
      <c r="H1287" s="31">
        <f>IF(G1287="","",SUMIF(C$2:C1287,"Masuk",G$2:G1287)-SUMIF(C$2:C1287,"Keluar",G$2:G1287))</f>
        <v/>
      </c>
    </row>
    <row r="1288">
      <c r="A1288" s="22" t="n"/>
      <c r="B1288" s="23" t="n"/>
      <c r="C1288" s="24" t="n"/>
      <c r="D1288" s="17" t="n"/>
      <c r="E1288" s="17" t="n"/>
      <c r="F1288" s="17" t="n"/>
      <c r="G1288" s="15" t="n"/>
      <c r="H1288" s="25">
        <f>IF(G1288="","",SUMIF(C$2:C1288,"Masuk",G$2:G1288)-SUMIF(C$2:C1288,"Keluar",G$2:G1288))</f>
        <v/>
      </c>
    </row>
    <row r="1289">
      <c r="A1289" s="26" t="n"/>
      <c r="B1289" s="27" t="n"/>
      <c r="C1289" s="28" t="n"/>
      <c r="D1289" s="29" t="n"/>
      <c r="E1289" s="29" t="n"/>
      <c r="F1289" s="29" t="n"/>
      <c r="G1289" s="30" t="n"/>
      <c r="H1289" s="31">
        <f>IF(G1289="","",SUMIF(C$2:C1289,"Masuk",G$2:G1289)-SUMIF(C$2:C1289,"Keluar",G$2:G1289))</f>
        <v/>
      </c>
    </row>
    <row r="1290">
      <c r="A1290" s="22" t="n"/>
      <c r="B1290" s="23" t="n"/>
      <c r="C1290" s="24" t="n"/>
      <c r="D1290" s="17" t="n"/>
      <c r="E1290" s="17" t="n"/>
      <c r="F1290" s="17" t="n"/>
      <c r="G1290" s="15" t="n"/>
      <c r="H1290" s="25">
        <f>IF(G1290="","",SUMIF(C$2:C1290,"Masuk",G$2:G1290)-SUMIF(C$2:C1290,"Keluar",G$2:G1290))</f>
        <v/>
      </c>
    </row>
    <row r="1291">
      <c r="A1291" s="26" t="n"/>
      <c r="B1291" s="27" t="n"/>
      <c r="C1291" s="28" t="n"/>
      <c r="D1291" s="29" t="n"/>
      <c r="E1291" s="29" t="n"/>
      <c r="F1291" s="29" t="n"/>
      <c r="G1291" s="30" t="n"/>
      <c r="H1291" s="31">
        <f>IF(G1291="","",SUMIF(C$2:C1291,"Masuk",G$2:G1291)-SUMIF(C$2:C1291,"Keluar",G$2:G1291))</f>
        <v/>
      </c>
    </row>
    <row r="1292">
      <c r="A1292" s="22" t="n"/>
      <c r="B1292" s="23" t="n"/>
      <c r="C1292" s="24" t="n"/>
      <c r="D1292" s="17" t="n"/>
      <c r="E1292" s="17" t="n"/>
      <c r="F1292" s="17" t="n"/>
      <c r="G1292" s="15" t="n"/>
      <c r="H1292" s="25">
        <f>IF(G1292="","",SUMIF(C$2:C1292,"Masuk",G$2:G1292)-SUMIF(C$2:C1292,"Keluar",G$2:G1292))</f>
        <v/>
      </c>
    </row>
    <row r="1293">
      <c r="A1293" s="26" t="n"/>
      <c r="B1293" s="27" t="n"/>
      <c r="C1293" s="28" t="n"/>
      <c r="D1293" s="29" t="n"/>
      <c r="E1293" s="29" t="n"/>
      <c r="F1293" s="29" t="n"/>
      <c r="G1293" s="30" t="n"/>
      <c r="H1293" s="31">
        <f>IF(G1293="","",SUMIF(C$2:C1293,"Masuk",G$2:G1293)-SUMIF(C$2:C1293,"Keluar",G$2:G1293))</f>
        <v/>
      </c>
    </row>
    <row r="1294">
      <c r="A1294" s="22" t="n"/>
      <c r="B1294" s="23" t="n"/>
      <c r="C1294" s="24" t="n"/>
      <c r="D1294" s="17" t="n"/>
      <c r="E1294" s="17" t="n"/>
      <c r="F1294" s="17" t="n"/>
      <c r="G1294" s="15" t="n"/>
      <c r="H1294" s="25">
        <f>IF(G1294="","",SUMIF(C$2:C1294,"Masuk",G$2:G1294)-SUMIF(C$2:C1294,"Keluar",G$2:G1294))</f>
        <v/>
      </c>
    </row>
    <row r="1295">
      <c r="A1295" s="26" t="n"/>
      <c r="B1295" s="27" t="n"/>
      <c r="C1295" s="28" t="n"/>
      <c r="D1295" s="29" t="n"/>
      <c r="E1295" s="29" t="n"/>
      <c r="F1295" s="29" t="n"/>
      <c r="G1295" s="30" t="n"/>
      <c r="H1295" s="31">
        <f>IF(G1295="","",SUMIF(C$2:C1295,"Masuk",G$2:G1295)-SUMIF(C$2:C1295,"Keluar",G$2:G1295))</f>
        <v/>
      </c>
    </row>
    <row r="1296">
      <c r="A1296" s="22" t="n"/>
      <c r="B1296" s="23" t="n"/>
      <c r="C1296" s="24" t="n"/>
      <c r="D1296" s="17" t="n"/>
      <c r="E1296" s="17" t="n"/>
      <c r="F1296" s="17" t="n"/>
      <c r="G1296" s="15" t="n"/>
      <c r="H1296" s="25">
        <f>IF(G1296="","",SUMIF(C$2:C1296,"Masuk",G$2:G1296)-SUMIF(C$2:C1296,"Keluar",G$2:G1296))</f>
        <v/>
      </c>
    </row>
    <row r="1297">
      <c r="A1297" s="26" t="n"/>
      <c r="B1297" s="27" t="n"/>
      <c r="C1297" s="28" t="n"/>
      <c r="D1297" s="29" t="n"/>
      <c r="E1297" s="29" t="n"/>
      <c r="F1297" s="29" t="n"/>
      <c r="G1297" s="30" t="n"/>
      <c r="H1297" s="31">
        <f>IF(G1297="","",SUMIF(C$2:C1297,"Masuk",G$2:G1297)-SUMIF(C$2:C1297,"Keluar",G$2:G1297))</f>
        <v/>
      </c>
    </row>
    <row r="1298">
      <c r="A1298" s="22" t="n"/>
      <c r="B1298" s="23" t="n"/>
      <c r="C1298" s="24" t="n"/>
      <c r="D1298" s="17" t="n"/>
      <c r="E1298" s="17" t="n"/>
      <c r="F1298" s="17" t="n"/>
      <c r="G1298" s="15" t="n"/>
      <c r="H1298" s="25">
        <f>IF(G1298="","",SUMIF(C$2:C1298,"Masuk",G$2:G1298)-SUMIF(C$2:C1298,"Keluar",G$2:G1298))</f>
        <v/>
      </c>
    </row>
    <row r="1299">
      <c r="A1299" s="26" t="n"/>
      <c r="B1299" s="27" t="n"/>
      <c r="C1299" s="28" t="n"/>
      <c r="D1299" s="29" t="n"/>
      <c r="E1299" s="29" t="n"/>
      <c r="F1299" s="29" t="n"/>
      <c r="G1299" s="30" t="n"/>
      <c r="H1299" s="31">
        <f>IF(G1299="","",SUMIF(C$2:C1299,"Masuk",G$2:G1299)-SUMIF(C$2:C1299,"Keluar",G$2:G1299))</f>
        <v/>
      </c>
    </row>
    <row r="1300">
      <c r="A1300" s="22" t="n"/>
      <c r="B1300" s="23" t="n"/>
      <c r="C1300" s="24" t="n"/>
      <c r="D1300" s="17" t="n"/>
      <c r="E1300" s="17" t="n"/>
      <c r="F1300" s="17" t="n"/>
      <c r="G1300" s="15" t="n"/>
      <c r="H1300" s="25">
        <f>IF(G1300="","",SUMIF(C$2:C1300,"Masuk",G$2:G1300)-SUMIF(C$2:C1300,"Keluar",G$2:G1300))</f>
        <v/>
      </c>
    </row>
    <row r="1301">
      <c r="A1301" s="26" t="n"/>
      <c r="B1301" s="27" t="n"/>
      <c r="C1301" s="28" t="n"/>
      <c r="D1301" s="29" t="n"/>
      <c r="E1301" s="29" t="n"/>
      <c r="F1301" s="29" t="n"/>
      <c r="G1301" s="30" t="n"/>
      <c r="H1301" s="31">
        <f>IF(G1301="","",SUMIF(C$2:C1301,"Masuk",G$2:G1301)-SUMIF(C$2:C1301,"Keluar",G$2:G1301))</f>
        <v/>
      </c>
    </row>
    <row r="1302">
      <c r="A1302" s="22" t="n"/>
      <c r="B1302" s="23" t="n"/>
      <c r="C1302" s="24" t="n"/>
      <c r="D1302" s="17" t="n"/>
      <c r="E1302" s="17" t="n"/>
      <c r="F1302" s="17" t="n"/>
      <c r="G1302" s="15" t="n"/>
      <c r="H1302" s="25">
        <f>IF(G1302="","",SUMIF(C$2:C1302,"Masuk",G$2:G1302)-SUMIF(C$2:C1302,"Keluar",G$2:G1302))</f>
        <v/>
      </c>
    </row>
    <row r="1303">
      <c r="A1303" s="26" t="n"/>
      <c r="B1303" s="27" t="n"/>
      <c r="C1303" s="28" t="n"/>
      <c r="D1303" s="29" t="n"/>
      <c r="E1303" s="29" t="n"/>
      <c r="F1303" s="29" t="n"/>
      <c r="G1303" s="30" t="n"/>
      <c r="H1303" s="31">
        <f>IF(G1303="","",SUMIF(C$2:C1303,"Masuk",G$2:G1303)-SUMIF(C$2:C1303,"Keluar",G$2:G1303))</f>
        <v/>
      </c>
    </row>
    <row r="1304">
      <c r="A1304" s="22" t="n"/>
      <c r="B1304" s="23" t="n"/>
      <c r="C1304" s="24" t="n"/>
      <c r="D1304" s="17" t="n"/>
      <c r="E1304" s="17" t="n"/>
      <c r="F1304" s="17" t="n"/>
      <c r="G1304" s="15" t="n"/>
      <c r="H1304" s="25">
        <f>IF(G1304="","",SUMIF(C$2:C1304,"Masuk",G$2:G1304)-SUMIF(C$2:C1304,"Keluar",G$2:G1304))</f>
        <v/>
      </c>
    </row>
    <row r="1305">
      <c r="A1305" s="26" t="n"/>
      <c r="B1305" s="27" t="n"/>
      <c r="C1305" s="28" t="n"/>
      <c r="D1305" s="29" t="n"/>
      <c r="E1305" s="29" t="n"/>
      <c r="F1305" s="29" t="n"/>
      <c r="G1305" s="30" t="n"/>
      <c r="H1305" s="31">
        <f>IF(G1305="","",SUMIF(C$2:C1305,"Masuk",G$2:G1305)-SUMIF(C$2:C1305,"Keluar",G$2:G1305))</f>
        <v/>
      </c>
    </row>
    <row r="1306">
      <c r="A1306" s="22" t="n"/>
      <c r="B1306" s="23" t="n"/>
      <c r="C1306" s="24" t="n"/>
      <c r="D1306" s="17" t="n"/>
      <c r="E1306" s="17" t="n"/>
      <c r="F1306" s="17" t="n"/>
      <c r="G1306" s="15" t="n"/>
      <c r="H1306" s="25">
        <f>IF(G1306="","",SUMIF(C$2:C1306,"Masuk",G$2:G1306)-SUMIF(C$2:C1306,"Keluar",G$2:G1306))</f>
        <v/>
      </c>
    </row>
    <row r="1307">
      <c r="A1307" s="26" t="n"/>
      <c r="B1307" s="27" t="n"/>
      <c r="C1307" s="28" t="n"/>
      <c r="D1307" s="29" t="n"/>
      <c r="E1307" s="29" t="n"/>
      <c r="F1307" s="29" t="n"/>
      <c r="G1307" s="30" t="n"/>
      <c r="H1307" s="31">
        <f>IF(G1307="","",SUMIF(C$2:C1307,"Masuk",G$2:G1307)-SUMIF(C$2:C1307,"Keluar",G$2:G1307))</f>
        <v/>
      </c>
    </row>
    <row r="1308">
      <c r="A1308" s="22" t="n"/>
      <c r="B1308" s="23" t="n"/>
      <c r="C1308" s="24" t="n"/>
      <c r="D1308" s="17" t="n"/>
      <c r="E1308" s="17" t="n"/>
      <c r="F1308" s="17" t="n"/>
      <c r="G1308" s="15" t="n"/>
      <c r="H1308" s="25">
        <f>IF(G1308="","",SUMIF(C$2:C1308,"Masuk",G$2:G1308)-SUMIF(C$2:C1308,"Keluar",G$2:G1308))</f>
        <v/>
      </c>
    </row>
    <row r="1309">
      <c r="A1309" s="26" t="n"/>
      <c r="B1309" s="27" t="n"/>
      <c r="C1309" s="28" t="n"/>
      <c r="D1309" s="29" t="n"/>
      <c r="E1309" s="29" t="n"/>
      <c r="F1309" s="29" t="n"/>
      <c r="G1309" s="30" t="n"/>
      <c r="H1309" s="31">
        <f>IF(G1309="","",SUMIF(C$2:C1309,"Masuk",G$2:G1309)-SUMIF(C$2:C1309,"Keluar",G$2:G1309))</f>
        <v/>
      </c>
    </row>
    <row r="1310">
      <c r="A1310" s="22" t="n"/>
      <c r="B1310" s="23" t="n"/>
      <c r="C1310" s="24" t="n"/>
      <c r="D1310" s="17" t="n"/>
      <c r="E1310" s="17" t="n"/>
      <c r="F1310" s="17" t="n"/>
      <c r="G1310" s="15" t="n"/>
      <c r="H1310" s="25">
        <f>IF(G1310="","",SUMIF(C$2:C1310,"Masuk",G$2:G1310)-SUMIF(C$2:C1310,"Keluar",G$2:G1310))</f>
        <v/>
      </c>
    </row>
    <row r="1311">
      <c r="A1311" s="26" t="n"/>
      <c r="B1311" s="27" t="n"/>
      <c r="C1311" s="28" t="n"/>
      <c r="D1311" s="29" t="n"/>
      <c r="E1311" s="29" t="n"/>
      <c r="F1311" s="29" t="n"/>
      <c r="G1311" s="30" t="n"/>
      <c r="H1311" s="31">
        <f>IF(G1311="","",SUMIF(C$2:C1311,"Masuk",G$2:G1311)-SUMIF(C$2:C1311,"Keluar",G$2:G1311))</f>
        <v/>
      </c>
    </row>
    <row r="1312">
      <c r="A1312" s="22" t="n"/>
      <c r="B1312" s="23" t="n"/>
      <c r="C1312" s="24" t="n"/>
      <c r="D1312" s="17" t="n"/>
      <c r="E1312" s="17" t="n"/>
      <c r="F1312" s="17" t="n"/>
      <c r="G1312" s="15" t="n"/>
      <c r="H1312" s="25">
        <f>IF(G1312="","",SUMIF(C$2:C1312,"Masuk",G$2:G1312)-SUMIF(C$2:C1312,"Keluar",G$2:G1312))</f>
        <v/>
      </c>
    </row>
    <row r="1313">
      <c r="A1313" s="26" t="n"/>
      <c r="B1313" s="27" t="n"/>
      <c r="C1313" s="28" t="n"/>
      <c r="D1313" s="29" t="n"/>
      <c r="E1313" s="29" t="n"/>
      <c r="F1313" s="29" t="n"/>
      <c r="G1313" s="30" t="n"/>
      <c r="H1313" s="31">
        <f>IF(G1313="","",SUMIF(C$2:C1313,"Masuk",G$2:G1313)-SUMIF(C$2:C1313,"Keluar",G$2:G1313))</f>
        <v/>
      </c>
    </row>
    <row r="1314">
      <c r="A1314" s="22" t="n"/>
      <c r="B1314" s="23" t="n"/>
      <c r="C1314" s="24" t="n"/>
      <c r="D1314" s="17" t="n"/>
      <c r="E1314" s="17" t="n"/>
      <c r="F1314" s="17" t="n"/>
      <c r="G1314" s="15" t="n"/>
      <c r="H1314" s="25">
        <f>IF(G1314="","",SUMIF(C$2:C1314,"Masuk",G$2:G1314)-SUMIF(C$2:C1314,"Keluar",G$2:G1314))</f>
        <v/>
      </c>
    </row>
    <row r="1315">
      <c r="A1315" s="26" t="n"/>
      <c r="B1315" s="27" t="n"/>
      <c r="C1315" s="28" t="n"/>
      <c r="D1315" s="29" t="n"/>
      <c r="E1315" s="29" t="n"/>
      <c r="F1315" s="29" t="n"/>
      <c r="G1315" s="30" t="n"/>
      <c r="H1315" s="31">
        <f>IF(G1315="","",SUMIF(C$2:C1315,"Masuk",G$2:G1315)-SUMIF(C$2:C1315,"Keluar",G$2:G1315))</f>
        <v/>
      </c>
    </row>
    <row r="1316">
      <c r="A1316" s="22" t="n"/>
      <c r="B1316" s="23" t="n"/>
      <c r="C1316" s="24" t="n"/>
      <c r="D1316" s="17" t="n"/>
      <c r="E1316" s="17" t="n"/>
      <c r="F1316" s="17" t="n"/>
      <c r="G1316" s="15" t="n"/>
      <c r="H1316" s="25">
        <f>IF(G1316="","",SUMIF(C$2:C1316,"Masuk",G$2:G1316)-SUMIF(C$2:C1316,"Keluar",G$2:G1316))</f>
        <v/>
      </c>
    </row>
    <row r="1317">
      <c r="A1317" s="26" t="n"/>
      <c r="B1317" s="27" t="n"/>
      <c r="C1317" s="28" t="n"/>
      <c r="D1317" s="29" t="n"/>
      <c r="E1317" s="29" t="n"/>
      <c r="F1317" s="29" t="n"/>
      <c r="G1317" s="30" t="n"/>
      <c r="H1317" s="31">
        <f>IF(G1317="","",SUMIF(C$2:C1317,"Masuk",G$2:G1317)-SUMIF(C$2:C1317,"Keluar",G$2:G1317))</f>
        <v/>
      </c>
    </row>
    <row r="1318">
      <c r="A1318" s="22" t="n"/>
      <c r="B1318" s="23" t="n"/>
      <c r="C1318" s="24" t="n"/>
      <c r="D1318" s="17" t="n"/>
      <c r="E1318" s="17" t="n"/>
      <c r="F1318" s="17" t="n"/>
      <c r="G1318" s="15" t="n"/>
      <c r="H1318" s="25">
        <f>IF(G1318="","",SUMIF(C$2:C1318,"Masuk",G$2:G1318)-SUMIF(C$2:C1318,"Keluar",G$2:G1318))</f>
        <v/>
      </c>
    </row>
    <row r="1319">
      <c r="A1319" s="26" t="n"/>
      <c r="B1319" s="27" t="n"/>
      <c r="C1319" s="28" t="n"/>
      <c r="D1319" s="29" t="n"/>
      <c r="E1319" s="29" t="n"/>
      <c r="F1319" s="29" t="n"/>
      <c r="G1319" s="30" t="n"/>
      <c r="H1319" s="31">
        <f>IF(G1319="","",SUMIF(C$2:C1319,"Masuk",G$2:G1319)-SUMIF(C$2:C1319,"Keluar",G$2:G1319))</f>
        <v/>
      </c>
    </row>
    <row r="1320">
      <c r="A1320" s="22" t="n"/>
      <c r="B1320" s="23" t="n"/>
      <c r="C1320" s="24" t="n"/>
      <c r="D1320" s="17" t="n"/>
      <c r="E1320" s="17" t="n"/>
      <c r="F1320" s="17" t="n"/>
      <c r="G1320" s="15" t="n"/>
      <c r="H1320" s="25">
        <f>IF(G1320="","",SUMIF(C$2:C1320,"Masuk",G$2:G1320)-SUMIF(C$2:C1320,"Keluar",G$2:G1320))</f>
        <v/>
      </c>
    </row>
    <row r="1321">
      <c r="A1321" s="26" t="n"/>
      <c r="B1321" s="27" t="n"/>
      <c r="C1321" s="28" t="n"/>
      <c r="D1321" s="29" t="n"/>
      <c r="E1321" s="29" t="n"/>
      <c r="F1321" s="29" t="n"/>
      <c r="G1321" s="30" t="n"/>
      <c r="H1321" s="31">
        <f>IF(G1321="","",SUMIF(C$2:C1321,"Masuk",G$2:G1321)-SUMIF(C$2:C1321,"Keluar",G$2:G1321))</f>
        <v/>
      </c>
    </row>
    <row r="1322">
      <c r="A1322" s="22" t="n"/>
      <c r="B1322" s="23" t="n"/>
      <c r="C1322" s="24" t="n"/>
      <c r="D1322" s="17" t="n"/>
      <c r="E1322" s="17" t="n"/>
      <c r="F1322" s="17" t="n"/>
      <c r="G1322" s="15" t="n"/>
      <c r="H1322" s="25">
        <f>IF(G1322="","",SUMIF(C$2:C1322,"Masuk",G$2:G1322)-SUMIF(C$2:C1322,"Keluar",G$2:G1322))</f>
        <v/>
      </c>
    </row>
    <row r="1323">
      <c r="A1323" s="26" t="n"/>
      <c r="B1323" s="27" t="n"/>
      <c r="C1323" s="28" t="n"/>
      <c r="D1323" s="29" t="n"/>
      <c r="E1323" s="29" t="n"/>
      <c r="F1323" s="29" t="n"/>
      <c r="G1323" s="30" t="n"/>
      <c r="H1323" s="31">
        <f>IF(G1323="","",SUMIF(C$2:C1323,"Masuk",G$2:G1323)-SUMIF(C$2:C1323,"Keluar",G$2:G1323))</f>
        <v/>
      </c>
    </row>
    <row r="1324">
      <c r="A1324" s="22" t="n"/>
      <c r="B1324" s="23" t="n"/>
      <c r="C1324" s="24" t="n"/>
      <c r="D1324" s="17" t="n"/>
      <c r="E1324" s="17" t="n"/>
      <c r="F1324" s="17" t="n"/>
      <c r="G1324" s="15" t="n"/>
      <c r="H1324" s="25">
        <f>IF(G1324="","",SUMIF(C$2:C1324,"Masuk",G$2:G1324)-SUMIF(C$2:C1324,"Keluar",G$2:G1324))</f>
        <v/>
      </c>
    </row>
    <row r="1325">
      <c r="A1325" s="26" t="n"/>
      <c r="B1325" s="27" t="n"/>
      <c r="C1325" s="28" t="n"/>
      <c r="D1325" s="29" t="n"/>
      <c r="E1325" s="29" t="n"/>
      <c r="F1325" s="29" t="n"/>
      <c r="G1325" s="30" t="n"/>
      <c r="H1325" s="31">
        <f>IF(G1325="","",SUMIF(C$2:C1325,"Masuk",G$2:G1325)-SUMIF(C$2:C1325,"Keluar",G$2:G1325))</f>
        <v/>
      </c>
    </row>
    <row r="1326">
      <c r="A1326" s="22" t="n"/>
      <c r="B1326" s="23" t="n"/>
      <c r="C1326" s="24" t="n"/>
      <c r="D1326" s="17" t="n"/>
      <c r="E1326" s="17" t="n"/>
      <c r="F1326" s="17" t="n"/>
      <c r="G1326" s="15" t="n"/>
      <c r="H1326" s="25">
        <f>IF(G1326="","",SUMIF(C$2:C1326,"Masuk",G$2:G1326)-SUMIF(C$2:C1326,"Keluar",G$2:G1326))</f>
        <v/>
      </c>
    </row>
    <row r="1327">
      <c r="A1327" s="26" t="n"/>
      <c r="B1327" s="27" t="n"/>
      <c r="C1327" s="28" t="n"/>
      <c r="D1327" s="29" t="n"/>
      <c r="E1327" s="29" t="n"/>
      <c r="F1327" s="29" t="n"/>
      <c r="G1327" s="30" t="n"/>
      <c r="H1327" s="31">
        <f>IF(G1327="","",SUMIF(C$2:C1327,"Masuk",G$2:G1327)-SUMIF(C$2:C1327,"Keluar",G$2:G1327))</f>
        <v/>
      </c>
    </row>
    <row r="1328">
      <c r="A1328" s="22" t="n"/>
      <c r="B1328" s="23" t="n"/>
      <c r="C1328" s="24" t="n"/>
      <c r="D1328" s="17" t="n"/>
      <c r="E1328" s="17" t="n"/>
      <c r="F1328" s="17" t="n"/>
      <c r="G1328" s="15" t="n"/>
      <c r="H1328" s="25">
        <f>IF(G1328="","",SUMIF(C$2:C1328,"Masuk",G$2:G1328)-SUMIF(C$2:C1328,"Keluar",G$2:G1328))</f>
        <v/>
      </c>
    </row>
    <row r="1329">
      <c r="A1329" s="26" t="n"/>
      <c r="B1329" s="27" t="n"/>
      <c r="C1329" s="28" t="n"/>
      <c r="D1329" s="29" t="n"/>
      <c r="E1329" s="29" t="n"/>
      <c r="F1329" s="29" t="n"/>
      <c r="G1329" s="30" t="n"/>
      <c r="H1329" s="31">
        <f>IF(G1329="","",SUMIF(C$2:C1329,"Masuk",G$2:G1329)-SUMIF(C$2:C1329,"Keluar",G$2:G1329))</f>
        <v/>
      </c>
    </row>
    <row r="1330">
      <c r="A1330" s="22" t="n"/>
      <c r="B1330" s="23" t="n"/>
      <c r="C1330" s="24" t="n"/>
      <c r="D1330" s="17" t="n"/>
      <c r="E1330" s="17" t="n"/>
      <c r="F1330" s="17" t="n"/>
      <c r="G1330" s="15" t="n"/>
      <c r="H1330" s="25">
        <f>IF(G1330="","",SUMIF(C$2:C1330,"Masuk",G$2:G1330)-SUMIF(C$2:C1330,"Keluar",G$2:G1330))</f>
        <v/>
      </c>
    </row>
    <row r="1331">
      <c r="A1331" s="26" t="n"/>
      <c r="B1331" s="27" t="n"/>
      <c r="C1331" s="28" t="n"/>
      <c r="D1331" s="29" t="n"/>
      <c r="E1331" s="29" t="n"/>
      <c r="F1331" s="29" t="n"/>
      <c r="G1331" s="30" t="n"/>
      <c r="H1331" s="31">
        <f>IF(G1331="","",SUMIF(C$2:C1331,"Masuk",G$2:G1331)-SUMIF(C$2:C1331,"Keluar",G$2:G1331))</f>
        <v/>
      </c>
    </row>
    <row r="1332">
      <c r="A1332" s="22" t="n"/>
      <c r="B1332" s="23" t="n"/>
      <c r="C1332" s="24" t="n"/>
      <c r="D1332" s="17" t="n"/>
      <c r="E1332" s="17" t="n"/>
      <c r="F1332" s="17" t="n"/>
      <c r="G1332" s="15" t="n"/>
      <c r="H1332" s="25">
        <f>IF(G1332="","",SUMIF(C$2:C1332,"Masuk",G$2:G1332)-SUMIF(C$2:C1332,"Keluar",G$2:G1332))</f>
        <v/>
      </c>
    </row>
    <row r="1333">
      <c r="A1333" s="26" t="n"/>
      <c r="B1333" s="27" t="n"/>
      <c r="C1333" s="28" t="n"/>
      <c r="D1333" s="29" t="n"/>
      <c r="E1333" s="29" t="n"/>
      <c r="F1333" s="29" t="n"/>
      <c r="G1333" s="30" t="n"/>
      <c r="H1333" s="31">
        <f>IF(G1333="","",SUMIF(C$2:C1333,"Masuk",G$2:G1333)-SUMIF(C$2:C1333,"Keluar",G$2:G1333))</f>
        <v/>
      </c>
    </row>
    <row r="1334">
      <c r="A1334" s="22" t="n"/>
      <c r="B1334" s="23" t="n"/>
      <c r="C1334" s="24" t="n"/>
      <c r="D1334" s="17" t="n"/>
      <c r="E1334" s="17" t="n"/>
      <c r="F1334" s="17" t="n"/>
      <c r="G1334" s="15" t="n"/>
      <c r="H1334" s="25">
        <f>IF(G1334="","",SUMIF(C$2:C1334,"Masuk",G$2:G1334)-SUMIF(C$2:C1334,"Keluar",G$2:G1334))</f>
        <v/>
      </c>
    </row>
    <row r="1335">
      <c r="A1335" s="26" t="n"/>
      <c r="B1335" s="27" t="n"/>
      <c r="C1335" s="28" t="n"/>
      <c r="D1335" s="29" t="n"/>
      <c r="E1335" s="29" t="n"/>
      <c r="F1335" s="29" t="n"/>
      <c r="G1335" s="30" t="n"/>
      <c r="H1335" s="31">
        <f>IF(G1335="","",SUMIF(C$2:C1335,"Masuk",G$2:G1335)-SUMIF(C$2:C1335,"Keluar",G$2:G1335))</f>
        <v/>
      </c>
    </row>
    <row r="1336">
      <c r="A1336" s="22" t="n"/>
      <c r="B1336" s="23" t="n"/>
      <c r="C1336" s="24" t="n"/>
      <c r="D1336" s="17" t="n"/>
      <c r="E1336" s="17" t="n"/>
      <c r="F1336" s="17" t="n"/>
      <c r="G1336" s="15" t="n"/>
      <c r="H1336" s="25">
        <f>IF(G1336="","",SUMIF(C$2:C1336,"Masuk",G$2:G1336)-SUMIF(C$2:C1336,"Keluar",G$2:G1336))</f>
        <v/>
      </c>
    </row>
    <row r="1337">
      <c r="A1337" s="26" t="n"/>
      <c r="B1337" s="27" t="n"/>
      <c r="C1337" s="28" t="n"/>
      <c r="D1337" s="29" t="n"/>
      <c r="E1337" s="29" t="n"/>
      <c r="F1337" s="29" t="n"/>
      <c r="G1337" s="30" t="n"/>
      <c r="H1337" s="31">
        <f>IF(G1337="","",SUMIF(C$2:C1337,"Masuk",G$2:G1337)-SUMIF(C$2:C1337,"Keluar",G$2:G1337))</f>
        <v/>
      </c>
    </row>
    <row r="1338">
      <c r="A1338" s="22" t="n"/>
      <c r="B1338" s="23" t="n"/>
      <c r="C1338" s="24" t="n"/>
      <c r="D1338" s="17" t="n"/>
      <c r="E1338" s="17" t="n"/>
      <c r="F1338" s="17" t="n"/>
      <c r="G1338" s="15" t="n"/>
      <c r="H1338" s="25">
        <f>IF(G1338="","",SUMIF(C$2:C1338,"Masuk",G$2:G1338)-SUMIF(C$2:C1338,"Keluar",G$2:G1338))</f>
        <v/>
      </c>
    </row>
    <row r="1339">
      <c r="A1339" s="26" t="n"/>
      <c r="B1339" s="27" t="n"/>
      <c r="C1339" s="28" t="n"/>
      <c r="D1339" s="29" t="n"/>
      <c r="E1339" s="29" t="n"/>
      <c r="F1339" s="29" t="n"/>
      <c r="G1339" s="30" t="n"/>
      <c r="H1339" s="31">
        <f>IF(G1339="","",SUMIF(C$2:C1339,"Masuk",G$2:G1339)-SUMIF(C$2:C1339,"Keluar",G$2:G1339))</f>
        <v/>
      </c>
    </row>
    <row r="1340">
      <c r="A1340" s="22" t="n"/>
      <c r="B1340" s="23" t="n"/>
      <c r="C1340" s="24" t="n"/>
      <c r="D1340" s="17" t="n"/>
      <c r="E1340" s="17" t="n"/>
      <c r="F1340" s="17" t="n"/>
      <c r="G1340" s="15" t="n"/>
      <c r="H1340" s="25">
        <f>IF(G1340="","",SUMIF(C$2:C1340,"Masuk",G$2:G1340)-SUMIF(C$2:C1340,"Keluar",G$2:G1340))</f>
        <v/>
      </c>
    </row>
    <row r="1341">
      <c r="A1341" s="26" t="n"/>
      <c r="B1341" s="27" t="n"/>
      <c r="C1341" s="28" t="n"/>
      <c r="D1341" s="29" t="n"/>
      <c r="E1341" s="29" t="n"/>
      <c r="F1341" s="29" t="n"/>
      <c r="G1341" s="30" t="n"/>
      <c r="H1341" s="31">
        <f>IF(G1341="","",SUMIF(C$2:C1341,"Masuk",G$2:G1341)-SUMIF(C$2:C1341,"Keluar",G$2:G1341))</f>
        <v/>
      </c>
    </row>
    <row r="1342">
      <c r="A1342" s="22" t="n"/>
      <c r="B1342" s="23" t="n"/>
      <c r="C1342" s="24" t="n"/>
      <c r="D1342" s="17" t="n"/>
      <c r="E1342" s="17" t="n"/>
      <c r="F1342" s="17" t="n"/>
      <c r="G1342" s="15" t="n"/>
      <c r="H1342" s="25">
        <f>IF(G1342="","",SUMIF(C$2:C1342,"Masuk",G$2:G1342)-SUMIF(C$2:C1342,"Keluar",G$2:G1342))</f>
        <v/>
      </c>
    </row>
    <row r="1343">
      <c r="A1343" s="26" t="n"/>
      <c r="B1343" s="27" t="n"/>
      <c r="C1343" s="28" t="n"/>
      <c r="D1343" s="29" t="n"/>
      <c r="E1343" s="29" t="n"/>
      <c r="F1343" s="29" t="n"/>
      <c r="G1343" s="30" t="n"/>
      <c r="H1343" s="31">
        <f>IF(G1343="","",SUMIF(C$2:C1343,"Masuk",G$2:G1343)-SUMIF(C$2:C1343,"Keluar",G$2:G1343))</f>
        <v/>
      </c>
    </row>
    <row r="1344">
      <c r="A1344" s="22" t="n"/>
      <c r="B1344" s="23" t="n"/>
      <c r="C1344" s="24" t="n"/>
      <c r="D1344" s="17" t="n"/>
      <c r="E1344" s="17" t="n"/>
      <c r="F1344" s="17" t="n"/>
      <c r="G1344" s="15" t="n"/>
      <c r="H1344" s="25">
        <f>IF(G1344="","",SUMIF(C$2:C1344,"Masuk",G$2:G1344)-SUMIF(C$2:C1344,"Keluar",G$2:G1344))</f>
        <v/>
      </c>
    </row>
    <row r="1345">
      <c r="A1345" s="26" t="n"/>
      <c r="B1345" s="27" t="n"/>
      <c r="C1345" s="28" t="n"/>
      <c r="D1345" s="29" t="n"/>
      <c r="E1345" s="29" t="n"/>
      <c r="F1345" s="29" t="n"/>
      <c r="G1345" s="30" t="n"/>
      <c r="H1345" s="31">
        <f>IF(G1345="","",SUMIF(C$2:C1345,"Masuk",G$2:G1345)-SUMIF(C$2:C1345,"Keluar",G$2:G1345))</f>
        <v/>
      </c>
    </row>
    <row r="1346">
      <c r="A1346" s="22" t="n"/>
      <c r="B1346" s="23" t="n"/>
      <c r="C1346" s="24" t="n"/>
      <c r="D1346" s="17" t="n"/>
      <c r="E1346" s="17" t="n"/>
      <c r="F1346" s="17" t="n"/>
      <c r="G1346" s="15" t="n"/>
      <c r="H1346" s="25">
        <f>IF(G1346="","",SUMIF(C$2:C1346,"Masuk",G$2:G1346)-SUMIF(C$2:C1346,"Keluar",G$2:G1346))</f>
        <v/>
      </c>
    </row>
    <row r="1347">
      <c r="A1347" s="26" t="n"/>
      <c r="B1347" s="27" t="n"/>
      <c r="C1347" s="28" t="n"/>
      <c r="D1347" s="29" t="n"/>
      <c r="E1347" s="29" t="n"/>
      <c r="F1347" s="29" t="n"/>
      <c r="G1347" s="30" t="n"/>
      <c r="H1347" s="31">
        <f>IF(G1347="","",SUMIF(C$2:C1347,"Masuk",G$2:G1347)-SUMIF(C$2:C1347,"Keluar",G$2:G1347))</f>
        <v/>
      </c>
    </row>
    <row r="1348">
      <c r="A1348" s="22" t="n"/>
      <c r="B1348" s="23" t="n"/>
      <c r="C1348" s="24" t="n"/>
      <c r="D1348" s="17" t="n"/>
      <c r="E1348" s="17" t="n"/>
      <c r="F1348" s="17" t="n"/>
      <c r="G1348" s="15" t="n"/>
      <c r="H1348" s="25">
        <f>IF(G1348="","",SUMIF(C$2:C1348,"Masuk",G$2:G1348)-SUMIF(C$2:C1348,"Keluar",G$2:G1348))</f>
        <v/>
      </c>
    </row>
    <row r="1349">
      <c r="A1349" s="26" t="n"/>
      <c r="B1349" s="27" t="n"/>
      <c r="C1349" s="28" t="n"/>
      <c r="D1349" s="29" t="n"/>
      <c r="E1349" s="29" t="n"/>
      <c r="F1349" s="29" t="n"/>
      <c r="G1349" s="30" t="n"/>
      <c r="H1349" s="31">
        <f>IF(G1349="","",SUMIF(C$2:C1349,"Masuk",G$2:G1349)-SUMIF(C$2:C1349,"Keluar",G$2:G1349))</f>
        <v/>
      </c>
    </row>
    <row r="1350">
      <c r="A1350" s="22" t="n"/>
      <c r="B1350" s="23" t="n"/>
      <c r="C1350" s="24" t="n"/>
      <c r="D1350" s="17" t="n"/>
      <c r="E1350" s="17" t="n"/>
      <c r="F1350" s="17" t="n"/>
      <c r="G1350" s="15" t="n"/>
      <c r="H1350" s="25">
        <f>IF(G1350="","",SUMIF(C$2:C1350,"Masuk",G$2:G1350)-SUMIF(C$2:C1350,"Keluar",G$2:G1350))</f>
        <v/>
      </c>
    </row>
    <row r="1351">
      <c r="A1351" s="26" t="n"/>
      <c r="B1351" s="27" t="n"/>
      <c r="C1351" s="28" t="n"/>
      <c r="D1351" s="29" t="n"/>
      <c r="E1351" s="29" t="n"/>
      <c r="F1351" s="29" t="n"/>
      <c r="G1351" s="30" t="n"/>
      <c r="H1351" s="31">
        <f>IF(G1351="","",SUMIF(C$2:C1351,"Masuk",G$2:G1351)-SUMIF(C$2:C1351,"Keluar",G$2:G1351))</f>
        <v/>
      </c>
    </row>
    <row r="1352">
      <c r="A1352" s="22" t="n"/>
      <c r="B1352" s="23" t="n"/>
      <c r="C1352" s="24" t="n"/>
      <c r="D1352" s="17" t="n"/>
      <c r="E1352" s="17" t="n"/>
      <c r="F1352" s="17" t="n"/>
      <c r="G1352" s="15" t="n"/>
      <c r="H1352" s="25">
        <f>IF(G1352="","",SUMIF(C$2:C1352,"Masuk",G$2:G1352)-SUMIF(C$2:C1352,"Keluar",G$2:G1352))</f>
        <v/>
      </c>
    </row>
    <row r="1353">
      <c r="A1353" s="26" t="n"/>
      <c r="B1353" s="27" t="n"/>
      <c r="C1353" s="28" t="n"/>
      <c r="D1353" s="29" t="n"/>
      <c r="E1353" s="29" t="n"/>
      <c r="F1353" s="29" t="n"/>
      <c r="G1353" s="30" t="n"/>
      <c r="H1353" s="31">
        <f>IF(G1353="","",SUMIF(C$2:C1353,"Masuk",G$2:G1353)-SUMIF(C$2:C1353,"Keluar",G$2:G1353))</f>
        <v/>
      </c>
    </row>
    <row r="1354">
      <c r="A1354" s="22" t="n"/>
      <c r="B1354" s="23" t="n"/>
      <c r="C1354" s="24" t="n"/>
      <c r="D1354" s="17" t="n"/>
      <c r="E1354" s="17" t="n"/>
      <c r="F1354" s="17" t="n"/>
      <c r="G1354" s="15" t="n"/>
      <c r="H1354" s="25">
        <f>IF(G1354="","",SUMIF(C$2:C1354,"Masuk",G$2:G1354)-SUMIF(C$2:C1354,"Keluar",G$2:G1354))</f>
        <v/>
      </c>
    </row>
    <row r="1355">
      <c r="A1355" s="26" t="n"/>
      <c r="B1355" s="27" t="n"/>
      <c r="C1355" s="28" t="n"/>
      <c r="D1355" s="29" t="n"/>
      <c r="E1355" s="29" t="n"/>
      <c r="F1355" s="29" t="n"/>
      <c r="G1355" s="30" t="n"/>
      <c r="H1355" s="31">
        <f>IF(G1355="","",SUMIF(C$2:C1355,"Masuk",G$2:G1355)-SUMIF(C$2:C1355,"Keluar",G$2:G1355))</f>
        <v/>
      </c>
    </row>
    <row r="1356">
      <c r="A1356" s="22" t="n"/>
      <c r="B1356" s="23" t="n"/>
      <c r="C1356" s="24" t="n"/>
      <c r="D1356" s="17" t="n"/>
      <c r="E1356" s="17" t="n"/>
      <c r="F1356" s="17" t="n"/>
      <c r="G1356" s="15" t="n"/>
      <c r="H1356" s="25">
        <f>IF(G1356="","",SUMIF(C$2:C1356,"Masuk",G$2:G1356)-SUMIF(C$2:C1356,"Keluar",G$2:G1356))</f>
        <v/>
      </c>
    </row>
    <row r="1357">
      <c r="A1357" s="26" t="n"/>
      <c r="B1357" s="27" t="n"/>
      <c r="C1357" s="28" t="n"/>
      <c r="D1357" s="29" t="n"/>
      <c r="E1357" s="29" t="n"/>
      <c r="F1357" s="29" t="n"/>
      <c r="G1357" s="30" t="n"/>
      <c r="H1357" s="31">
        <f>IF(G1357="","",SUMIF(C$2:C1357,"Masuk",G$2:G1357)-SUMIF(C$2:C1357,"Keluar",G$2:G1357))</f>
        <v/>
      </c>
    </row>
    <row r="1358">
      <c r="A1358" s="22" t="n"/>
      <c r="B1358" s="23" t="n"/>
      <c r="C1358" s="24" t="n"/>
      <c r="D1358" s="17" t="n"/>
      <c r="E1358" s="17" t="n"/>
      <c r="F1358" s="17" t="n"/>
      <c r="G1358" s="15" t="n"/>
      <c r="H1358" s="25">
        <f>IF(G1358="","",SUMIF(C$2:C1358,"Masuk",G$2:G1358)-SUMIF(C$2:C1358,"Keluar",G$2:G1358))</f>
        <v/>
      </c>
    </row>
    <row r="1359">
      <c r="A1359" s="26" t="n"/>
      <c r="B1359" s="27" t="n"/>
      <c r="C1359" s="28" t="n"/>
      <c r="D1359" s="29" t="n"/>
      <c r="E1359" s="29" t="n"/>
      <c r="F1359" s="29" t="n"/>
      <c r="G1359" s="30" t="n"/>
      <c r="H1359" s="31">
        <f>IF(G1359="","",SUMIF(C$2:C1359,"Masuk",G$2:G1359)-SUMIF(C$2:C1359,"Keluar",G$2:G1359))</f>
        <v/>
      </c>
    </row>
    <row r="1360">
      <c r="A1360" s="22" t="n"/>
      <c r="B1360" s="23" t="n"/>
      <c r="C1360" s="24" t="n"/>
      <c r="D1360" s="17" t="n"/>
      <c r="E1360" s="17" t="n"/>
      <c r="F1360" s="17" t="n"/>
      <c r="G1360" s="15" t="n"/>
      <c r="H1360" s="25">
        <f>IF(G1360="","",SUMIF(C$2:C1360,"Masuk",G$2:G1360)-SUMIF(C$2:C1360,"Keluar",G$2:G1360))</f>
        <v/>
      </c>
    </row>
    <row r="1361">
      <c r="A1361" s="26" t="n"/>
      <c r="B1361" s="27" t="n"/>
      <c r="C1361" s="28" t="n"/>
      <c r="D1361" s="29" t="n"/>
      <c r="E1361" s="29" t="n"/>
      <c r="F1361" s="29" t="n"/>
      <c r="G1361" s="30" t="n"/>
      <c r="H1361" s="31">
        <f>IF(G1361="","",SUMIF(C$2:C1361,"Masuk",G$2:G1361)-SUMIF(C$2:C1361,"Keluar",G$2:G1361))</f>
        <v/>
      </c>
    </row>
    <row r="1362">
      <c r="A1362" s="22" t="n"/>
      <c r="B1362" s="23" t="n"/>
      <c r="C1362" s="24" t="n"/>
      <c r="D1362" s="17" t="n"/>
      <c r="E1362" s="17" t="n"/>
      <c r="F1362" s="17" t="n"/>
      <c r="G1362" s="15" t="n"/>
      <c r="H1362" s="25">
        <f>IF(G1362="","",SUMIF(C$2:C1362,"Masuk",G$2:G1362)-SUMIF(C$2:C1362,"Keluar",G$2:G1362))</f>
        <v/>
      </c>
    </row>
    <row r="1363">
      <c r="A1363" s="26" t="n"/>
      <c r="B1363" s="27" t="n"/>
      <c r="C1363" s="28" t="n"/>
      <c r="D1363" s="29" t="n"/>
      <c r="E1363" s="29" t="n"/>
      <c r="F1363" s="29" t="n"/>
      <c r="G1363" s="30" t="n"/>
      <c r="H1363" s="31">
        <f>IF(G1363="","",SUMIF(C$2:C1363,"Masuk",G$2:G1363)-SUMIF(C$2:C1363,"Keluar",G$2:G1363))</f>
        <v/>
      </c>
    </row>
    <row r="1364">
      <c r="A1364" s="22" t="n"/>
      <c r="B1364" s="23" t="n"/>
      <c r="C1364" s="24" t="n"/>
      <c r="D1364" s="17" t="n"/>
      <c r="E1364" s="17" t="n"/>
      <c r="F1364" s="17" t="n"/>
      <c r="G1364" s="15" t="n"/>
      <c r="H1364" s="25">
        <f>IF(G1364="","",SUMIF(C$2:C1364,"Masuk",G$2:G1364)-SUMIF(C$2:C1364,"Keluar",G$2:G1364))</f>
        <v/>
      </c>
    </row>
    <row r="1365">
      <c r="A1365" s="26" t="n"/>
      <c r="B1365" s="27" t="n"/>
      <c r="C1365" s="28" t="n"/>
      <c r="D1365" s="29" t="n"/>
      <c r="E1365" s="29" t="n"/>
      <c r="F1365" s="29" t="n"/>
      <c r="G1365" s="30" t="n"/>
      <c r="H1365" s="31">
        <f>IF(G1365="","",SUMIF(C$2:C1365,"Masuk",G$2:G1365)-SUMIF(C$2:C1365,"Keluar",G$2:G1365))</f>
        <v/>
      </c>
    </row>
    <row r="1366">
      <c r="A1366" s="22" t="n"/>
      <c r="B1366" s="23" t="n"/>
      <c r="C1366" s="24" t="n"/>
      <c r="D1366" s="17" t="n"/>
      <c r="E1366" s="17" t="n"/>
      <c r="F1366" s="17" t="n"/>
      <c r="G1366" s="15" t="n"/>
      <c r="H1366" s="25">
        <f>IF(G1366="","",SUMIF(C$2:C1366,"Masuk",G$2:G1366)-SUMIF(C$2:C1366,"Keluar",G$2:G1366))</f>
        <v/>
      </c>
    </row>
    <row r="1367">
      <c r="A1367" s="26" t="n"/>
      <c r="B1367" s="27" t="n"/>
      <c r="C1367" s="28" t="n"/>
      <c r="D1367" s="29" t="n"/>
      <c r="E1367" s="29" t="n"/>
      <c r="F1367" s="29" t="n"/>
      <c r="G1367" s="30" t="n"/>
      <c r="H1367" s="31">
        <f>IF(G1367="","",SUMIF(C$2:C1367,"Masuk",G$2:G1367)-SUMIF(C$2:C1367,"Keluar",G$2:G1367))</f>
        <v/>
      </c>
    </row>
    <row r="1368">
      <c r="A1368" s="22" t="n"/>
      <c r="B1368" s="23" t="n"/>
      <c r="C1368" s="24" t="n"/>
      <c r="D1368" s="17" t="n"/>
      <c r="E1368" s="17" t="n"/>
      <c r="F1368" s="17" t="n"/>
      <c r="G1368" s="15" t="n"/>
      <c r="H1368" s="25">
        <f>IF(G1368="","",SUMIF(C$2:C1368,"Masuk",G$2:G1368)-SUMIF(C$2:C1368,"Keluar",G$2:G1368))</f>
        <v/>
      </c>
    </row>
    <row r="1369">
      <c r="A1369" s="26" t="n"/>
      <c r="B1369" s="27" t="n"/>
      <c r="C1369" s="28" t="n"/>
      <c r="D1369" s="29" t="n"/>
      <c r="E1369" s="29" t="n"/>
      <c r="F1369" s="29" t="n"/>
      <c r="G1369" s="30" t="n"/>
      <c r="H1369" s="31">
        <f>IF(G1369="","",SUMIF(C$2:C1369,"Masuk",G$2:G1369)-SUMIF(C$2:C1369,"Keluar",G$2:G1369))</f>
        <v/>
      </c>
    </row>
    <row r="1370">
      <c r="A1370" s="22" t="n"/>
      <c r="B1370" s="23" t="n"/>
      <c r="C1370" s="24" t="n"/>
      <c r="D1370" s="17" t="n"/>
      <c r="E1370" s="17" t="n"/>
      <c r="F1370" s="17" t="n"/>
      <c r="G1370" s="15" t="n"/>
      <c r="H1370" s="25">
        <f>IF(G1370="","",SUMIF(C$2:C1370,"Masuk",G$2:G1370)-SUMIF(C$2:C1370,"Keluar",G$2:G1370))</f>
        <v/>
      </c>
    </row>
    <row r="1371">
      <c r="A1371" s="26" t="n"/>
      <c r="B1371" s="27" t="n"/>
      <c r="C1371" s="28" t="n"/>
      <c r="D1371" s="29" t="n"/>
      <c r="E1371" s="29" t="n"/>
      <c r="F1371" s="29" t="n"/>
      <c r="G1371" s="30" t="n"/>
      <c r="H1371" s="31">
        <f>IF(G1371="","",SUMIF(C$2:C1371,"Masuk",G$2:G1371)-SUMIF(C$2:C1371,"Keluar",G$2:G1371))</f>
        <v/>
      </c>
    </row>
    <row r="1372">
      <c r="A1372" s="22" t="n"/>
      <c r="B1372" s="23" t="n"/>
      <c r="C1372" s="24" t="n"/>
      <c r="D1372" s="17" t="n"/>
      <c r="E1372" s="17" t="n"/>
      <c r="F1372" s="17" t="n"/>
      <c r="G1372" s="15" t="n"/>
      <c r="H1372" s="25">
        <f>IF(G1372="","",SUMIF(C$2:C1372,"Masuk",G$2:G1372)-SUMIF(C$2:C1372,"Keluar",G$2:G1372))</f>
        <v/>
      </c>
    </row>
    <row r="1373">
      <c r="A1373" s="26" t="n"/>
      <c r="B1373" s="27" t="n"/>
      <c r="C1373" s="28" t="n"/>
      <c r="D1373" s="29" t="n"/>
      <c r="E1373" s="29" t="n"/>
      <c r="F1373" s="29" t="n"/>
      <c r="G1373" s="30" t="n"/>
      <c r="H1373" s="31">
        <f>IF(G1373="","",SUMIF(C$2:C1373,"Masuk",G$2:G1373)-SUMIF(C$2:C1373,"Keluar",G$2:G1373))</f>
        <v/>
      </c>
    </row>
    <row r="1374">
      <c r="A1374" s="22" t="n"/>
      <c r="B1374" s="23" t="n"/>
      <c r="C1374" s="24" t="n"/>
      <c r="D1374" s="17" t="n"/>
      <c r="E1374" s="17" t="n"/>
      <c r="F1374" s="17" t="n"/>
      <c r="G1374" s="15" t="n"/>
      <c r="H1374" s="25">
        <f>IF(G1374="","",SUMIF(C$2:C1374,"Masuk",G$2:G1374)-SUMIF(C$2:C1374,"Keluar",G$2:G1374))</f>
        <v/>
      </c>
    </row>
    <row r="1375">
      <c r="A1375" s="26" t="n"/>
      <c r="B1375" s="27" t="n"/>
      <c r="C1375" s="28" t="n"/>
      <c r="D1375" s="29" t="n"/>
      <c r="E1375" s="29" t="n"/>
      <c r="F1375" s="29" t="n"/>
      <c r="G1375" s="30" t="n"/>
      <c r="H1375" s="31">
        <f>IF(G1375="","",SUMIF(C$2:C1375,"Masuk",G$2:G1375)-SUMIF(C$2:C1375,"Keluar",G$2:G1375))</f>
        <v/>
      </c>
    </row>
    <row r="1376">
      <c r="A1376" s="22" t="n"/>
      <c r="B1376" s="23" t="n"/>
      <c r="C1376" s="24" t="n"/>
      <c r="D1376" s="17" t="n"/>
      <c r="E1376" s="17" t="n"/>
      <c r="F1376" s="17" t="n"/>
      <c r="G1376" s="15" t="n"/>
      <c r="H1376" s="25">
        <f>IF(G1376="","",SUMIF(C$2:C1376,"Masuk",G$2:G1376)-SUMIF(C$2:C1376,"Keluar",G$2:G1376))</f>
        <v/>
      </c>
    </row>
    <row r="1377">
      <c r="A1377" s="26" t="n"/>
      <c r="B1377" s="27" t="n"/>
      <c r="C1377" s="28" t="n"/>
      <c r="D1377" s="29" t="n"/>
      <c r="E1377" s="29" t="n"/>
      <c r="F1377" s="29" t="n"/>
      <c r="G1377" s="30" t="n"/>
      <c r="H1377" s="31">
        <f>IF(G1377="","",SUMIF(C$2:C1377,"Masuk",G$2:G1377)-SUMIF(C$2:C1377,"Keluar",G$2:G1377))</f>
        <v/>
      </c>
    </row>
    <row r="1378">
      <c r="A1378" s="22" t="n"/>
      <c r="B1378" s="23" t="n"/>
      <c r="C1378" s="24" t="n"/>
      <c r="D1378" s="17" t="n"/>
      <c r="E1378" s="17" t="n"/>
      <c r="F1378" s="17" t="n"/>
      <c r="G1378" s="15" t="n"/>
      <c r="H1378" s="25">
        <f>IF(G1378="","",SUMIF(C$2:C1378,"Masuk",G$2:G1378)-SUMIF(C$2:C1378,"Keluar",G$2:G1378))</f>
        <v/>
      </c>
    </row>
    <row r="1379">
      <c r="A1379" s="26" t="n"/>
      <c r="B1379" s="27" t="n"/>
      <c r="C1379" s="28" t="n"/>
      <c r="D1379" s="29" t="n"/>
      <c r="E1379" s="29" t="n"/>
      <c r="F1379" s="29" t="n"/>
      <c r="G1379" s="30" t="n"/>
      <c r="H1379" s="31">
        <f>IF(G1379="","",SUMIF(C$2:C1379,"Masuk",G$2:G1379)-SUMIF(C$2:C1379,"Keluar",G$2:G1379))</f>
        <v/>
      </c>
    </row>
    <row r="1380">
      <c r="A1380" s="22" t="n"/>
      <c r="B1380" s="23" t="n"/>
      <c r="C1380" s="24" t="n"/>
      <c r="D1380" s="17" t="n"/>
      <c r="E1380" s="17" t="n"/>
      <c r="F1380" s="17" t="n"/>
      <c r="G1380" s="15" t="n"/>
      <c r="H1380" s="25">
        <f>IF(G1380="","",SUMIF(C$2:C1380,"Masuk",G$2:G1380)-SUMIF(C$2:C1380,"Keluar",G$2:G1380))</f>
        <v/>
      </c>
    </row>
    <row r="1381">
      <c r="A1381" s="26" t="n"/>
      <c r="B1381" s="27" t="n"/>
      <c r="C1381" s="28" t="n"/>
      <c r="D1381" s="29" t="n"/>
      <c r="E1381" s="29" t="n"/>
      <c r="F1381" s="29" t="n"/>
      <c r="G1381" s="30" t="n"/>
      <c r="H1381" s="31">
        <f>IF(G1381="","",SUMIF(C$2:C1381,"Masuk",G$2:G1381)-SUMIF(C$2:C1381,"Keluar",G$2:G1381))</f>
        <v/>
      </c>
    </row>
    <row r="1382">
      <c r="A1382" s="22" t="n"/>
      <c r="B1382" s="23" t="n"/>
      <c r="C1382" s="24" t="n"/>
      <c r="D1382" s="17" t="n"/>
      <c r="E1382" s="17" t="n"/>
      <c r="F1382" s="17" t="n"/>
      <c r="G1382" s="15" t="n"/>
      <c r="H1382" s="25">
        <f>IF(G1382="","",SUMIF(C$2:C1382,"Masuk",G$2:G1382)-SUMIF(C$2:C1382,"Keluar",G$2:G1382))</f>
        <v/>
      </c>
    </row>
    <row r="1383">
      <c r="A1383" s="26" t="n"/>
      <c r="B1383" s="27" t="n"/>
      <c r="C1383" s="28" t="n"/>
      <c r="D1383" s="29" t="n"/>
      <c r="E1383" s="29" t="n"/>
      <c r="F1383" s="29" t="n"/>
      <c r="G1383" s="30" t="n"/>
      <c r="H1383" s="31">
        <f>IF(G1383="","",SUMIF(C$2:C1383,"Masuk",G$2:G1383)-SUMIF(C$2:C1383,"Keluar",G$2:G1383))</f>
        <v/>
      </c>
    </row>
    <row r="1384">
      <c r="A1384" s="22" t="n"/>
      <c r="B1384" s="23" t="n"/>
      <c r="C1384" s="24" t="n"/>
      <c r="D1384" s="17" t="n"/>
      <c r="E1384" s="17" t="n"/>
      <c r="F1384" s="17" t="n"/>
      <c r="G1384" s="15" t="n"/>
      <c r="H1384" s="25">
        <f>IF(G1384="","",SUMIF(C$2:C1384,"Masuk",G$2:G1384)-SUMIF(C$2:C1384,"Keluar",G$2:G1384))</f>
        <v/>
      </c>
    </row>
    <row r="1385">
      <c r="A1385" s="26" t="n"/>
      <c r="B1385" s="27" t="n"/>
      <c r="C1385" s="28" t="n"/>
      <c r="D1385" s="29" t="n"/>
      <c r="E1385" s="29" t="n"/>
      <c r="F1385" s="29" t="n"/>
      <c r="G1385" s="30" t="n"/>
      <c r="H1385" s="31">
        <f>IF(G1385="","",SUMIF(C$2:C1385,"Masuk",G$2:G1385)-SUMIF(C$2:C1385,"Keluar",G$2:G1385))</f>
        <v/>
      </c>
    </row>
    <row r="1386">
      <c r="A1386" s="22" t="n"/>
      <c r="B1386" s="23" t="n"/>
      <c r="C1386" s="24" t="n"/>
      <c r="D1386" s="17" t="n"/>
      <c r="E1386" s="17" t="n"/>
      <c r="F1386" s="17" t="n"/>
      <c r="G1386" s="15" t="n"/>
      <c r="H1386" s="25">
        <f>IF(G1386="","",SUMIF(C$2:C1386,"Masuk",G$2:G1386)-SUMIF(C$2:C1386,"Keluar",G$2:G1386))</f>
        <v/>
      </c>
    </row>
    <row r="1387">
      <c r="A1387" s="26" t="n"/>
      <c r="B1387" s="27" t="n"/>
      <c r="C1387" s="28" t="n"/>
      <c r="D1387" s="29" t="n"/>
      <c r="E1387" s="29" t="n"/>
      <c r="F1387" s="29" t="n"/>
      <c r="G1387" s="30" t="n"/>
      <c r="H1387" s="31">
        <f>IF(G1387="","",SUMIF(C$2:C1387,"Masuk",G$2:G1387)-SUMIF(C$2:C1387,"Keluar",G$2:G1387))</f>
        <v/>
      </c>
    </row>
    <row r="1388">
      <c r="A1388" s="22" t="n"/>
      <c r="B1388" s="23" t="n"/>
      <c r="C1388" s="24" t="n"/>
      <c r="D1388" s="17" t="n"/>
      <c r="E1388" s="17" t="n"/>
      <c r="F1388" s="17" t="n"/>
      <c r="G1388" s="15" t="n"/>
      <c r="H1388" s="25">
        <f>IF(G1388="","",SUMIF(C$2:C1388,"Masuk",G$2:G1388)-SUMIF(C$2:C1388,"Keluar",G$2:G1388))</f>
        <v/>
      </c>
    </row>
    <row r="1389">
      <c r="A1389" s="26" t="n"/>
      <c r="B1389" s="27" t="n"/>
      <c r="C1389" s="28" t="n"/>
      <c r="D1389" s="29" t="n"/>
      <c r="E1389" s="29" t="n"/>
      <c r="F1389" s="29" t="n"/>
      <c r="G1389" s="30" t="n"/>
      <c r="H1389" s="31">
        <f>IF(G1389="","",SUMIF(C$2:C1389,"Masuk",G$2:G1389)-SUMIF(C$2:C1389,"Keluar",G$2:G1389))</f>
        <v/>
      </c>
    </row>
    <row r="1390">
      <c r="A1390" s="22" t="n"/>
      <c r="B1390" s="23" t="n"/>
      <c r="C1390" s="24" t="n"/>
      <c r="D1390" s="17" t="n"/>
      <c r="E1390" s="17" t="n"/>
      <c r="F1390" s="17" t="n"/>
      <c r="G1390" s="15" t="n"/>
      <c r="H1390" s="25">
        <f>IF(G1390="","",SUMIF(C$2:C1390,"Masuk",G$2:G1390)-SUMIF(C$2:C1390,"Keluar",G$2:G1390))</f>
        <v/>
      </c>
    </row>
    <row r="1391">
      <c r="A1391" s="26" t="n"/>
      <c r="B1391" s="27" t="n"/>
      <c r="C1391" s="28" t="n"/>
      <c r="D1391" s="29" t="n"/>
      <c r="E1391" s="29" t="n"/>
      <c r="F1391" s="29" t="n"/>
      <c r="G1391" s="30" t="n"/>
      <c r="H1391" s="31">
        <f>IF(G1391="","",SUMIF(C$2:C1391,"Masuk",G$2:G1391)-SUMIF(C$2:C1391,"Keluar",G$2:G1391))</f>
        <v/>
      </c>
    </row>
    <row r="1392">
      <c r="A1392" s="22" t="n"/>
      <c r="B1392" s="23" t="n"/>
      <c r="C1392" s="24" t="n"/>
      <c r="D1392" s="17" t="n"/>
      <c r="E1392" s="17" t="n"/>
      <c r="F1392" s="17" t="n"/>
      <c r="G1392" s="15" t="n"/>
      <c r="H1392" s="25">
        <f>IF(G1392="","",SUMIF(C$2:C1392,"Masuk",G$2:G1392)-SUMIF(C$2:C1392,"Keluar",G$2:G1392))</f>
        <v/>
      </c>
    </row>
    <row r="1393">
      <c r="A1393" s="26" t="n"/>
      <c r="B1393" s="27" t="n"/>
      <c r="C1393" s="28" t="n"/>
      <c r="D1393" s="29" t="n"/>
      <c r="E1393" s="29" t="n"/>
      <c r="F1393" s="29" t="n"/>
      <c r="G1393" s="30" t="n"/>
      <c r="H1393" s="31">
        <f>IF(G1393="","",SUMIF(C$2:C1393,"Masuk",G$2:G1393)-SUMIF(C$2:C1393,"Keluar",G$2:G1393))</f>
        <v/>
      </c>
    </row>
    <row r="1394">
      <c r="A1394" s="22" t="n"/>
      <c r="B1394" s="23" t="n"/>
      <c r="C1394" s="24" t="n"/>
      <c r="D1394" s="17" t="n"/>
      <c r="E1394" s="17" t="n"/>
      <c r="F1394" s="17" t="n"/>
      <c r="G1394" s="15" t="n"/>
      <c r="H1394" s="25">
        <f>IF(G1394="","",SUMIF(C$2:C1394,"Masuk",G$2:G1394)-SUMIF(C$2:C1394,"Keluar",G$2:G1394))</f>
        <v/>
      </c>
    </row>
    <row r="1395">
      <c r="A1395" s="26" t="n"/>
      <c r="B1395" s="27" t="n"/>
      <c r="C1395" s="28" t="n"/>
      <c r="D1395" s="29" t="n"/>
      <c r="E1395" s="29" t="n"/>
      <c r="F1395" s="29" t="n"/>
      <c r="G1395" s="30" t="n"/>
      <c r="H1395" s="31">
        <f>IF(G1395="","",SUMIF(C$2:C1395,"Masuk",G$2:G1395)-SUMIF(C$2:C1395,"Keluar",G$2:G1395))</f>
        <v/>
      </c>
    </row>
    <row r="1396">
      <c r="A1396" s="22" t="n"/>
      <c r="B1396" s="23" t="n"/>
      <c r="C1396" s="24" t="n"/>
      <c r="D1396" s="17" t="n"/>
      <c r="E1396" s="17" t="n"/>
      <c r="F1396" s="17" t="n"/>
      <c r="G1396" s="15" t="n"/>
      <c r="H1396" s="25">
        <f>IF(G1396="","",SUMIF(C$2:C1396,"Masuk",G$2:G1396)-SUMIF(C$2:C1396,"Keluar",G$2:G1396))</f>
        <v/>
      </c>
    </row>
    <row r="1397">
      <c r="A1397" s="26" t="n"/>
      <c r="B1397" s="27" t="n"/>
      <c r="C1397" s="28" t="n"/>
      <c r="D1397" s="29" t="n"/>
      <c r="E1397" s="29" t="n"/>
      <c r="F1397" s="29" t="n"/>
      <c r="G1397" s="30" t="n"/>
      <c r="H1397" s="31">
        <f>IF(G1397="","",SUMIF(C$2:C1397,"Masuk",G$2:G1397)-SUMIF(C$2:C1397,"Keluar",G$2:G1397))</f>
        <v/>
      </c>
    </row>
    <row r="1398">
      <c r="A1398" s="22" t="n"/>
      <c r="B1398" s="23" t="n"/>
      <c r="C1398" s="24" t="n"/>
      <c r="D1398" s="17" t="n"/>
      <c r="E1398" s="17" t="n"/>
      <c r="F1398" s="17" t="n"/>
      <c r="G1398" s="15" t="n"/>
      <c r="H1398" s="25">
        <f>IF(G1398="","",SUMIF(C$2:C1398,"Masuk",G$2:G1398)-SUMIF(C$2:C1398,"Keluar",G$2:G1398))</f>
        <v/>
      </c>
    </row>
    <row r="1399">
      <c r="A1399" s="26" t="n"/>
      <c r="B1399" s="27" t="n"/>
      <c r="C1399" s="28" t="n"/>
      <c r="D1399" s="29" t="n"/>
      <c r="E1399" s="29" t="n"/>
      <c r="F1399" s="29" t="n"/>
      <c r="G1399" s="30" t="n"/>
      <c r="H1399" s="31">
        <f>IF(G1399="","",SUMIF(C$2:C1399,"Masuk",G$2:G1399)-SUMIF(C$2:C1399,"Keluar",G$2:G1399))</f>
        <v/>
      </c>
    </row>
    <row r="1400">
      <c r="A1400" s="22" t="n"/>
      <c r="B1400" s="23" t="n"/>
      <c r="C1400" s="24" t="n"/>
      <c r="D1400" s="17" t="n"/>
      <c r="E1400" s="17" t="n"/>
      <c r="F1400" s="17" t="n"/>
      <c r="G1400" s="15" t="n"/>
      <c r="H1400" s="25">
        <f>IF(G1400="","",SUMIF(C$2:C1400,"Masuk",G$2:G1400)-SUMIF(C$2:C1400,"Keluar",G$2:G1400))</f>
        <v/>
      </c>
    </row>
    <row r="1401">
      <c r="A1401" s="26" t="n"/>
      <c r="B1401" s="27" t="n"/>
      <c r="C1401" s="28" t="n"/>
      <c r="D1401" s="29" t="n"/>
      <c r="E1401" s="29" t="n"/>
      <c r="F1401" s="29" t="n"/>
      <c r="G1401" s="30" t="n"/>
      <c r="H1401" s="31">
        <f>IF(G1401="","",SUMIF(C$2:C1401,"Masuk",G$2:G1401)-SUMIF(C$2:C1401,"Keluar",G$2:G1401))</f>
        <v/>
      </c>
    </row>
    <row r="1402">
      <c r="A1402" s="22" t="n"/>
      <c r="B1402" s="23" t="n"/>
      <c r="C1402" s="24" t="n"/>
      <c r="D1402" s="17" t="n"/>
      <c r="E1402" s="17" t="n"/>
      <c r="F1402" s="17" t="n"/>
      <c r="G1402" s="15" t="n"/>
      <c r="H1402" s="25">
        <f>IF(G1402="","",SUMIF(C$2:C1402,"Masuk",G$2:G1402)-SUMIF(C$2:C1402,"Keluar",G$2:G1402))</f>
        <v/>
      </c>
    </row>
    <row r="1403">
      <c r="A1403" s="26" t="n"/>
      <c r="B1403" s="27" t="n"/>
      <c r="C1403" s="28" t="n"/>
      <c r="D1403" s="29" t="n"/>
      <c r="E1403" s="29" t="n"/>
      <c r="F1403" s="29" t="n"/>
      <c r="G1403" s="30" t="n"/>
      <c r="H1403" s="31">
        <f>IF(G1403="","",SUMIF(C$2:C1403,"Masuk",G$2:G1403)-SUMIF(C$2:C1403,"Keluar",G$2:G1403))</f>
        <v/>
      </c>
    </row>
    <row r="1404">
      <c r="A1404" s="22" t="n"/>
      <c r="B1404" s="23" t="n"/>
      <c r="C1404" s="24" t="n"/>
      <c r="D1404" s="17" t="n"/>
      <c r="E1404" s="17" t="n"/>
      <c r="F1404" s="17" t="n"/>
      <c r="G1404" s="15" t="n"/>
      <c r="H1404" s="25">
        <f>IF(G1404="","",SUMIF(C$2:C1404,"Masuk",G$2:G1404)-SUMIF(C$2:C1404,"Keluar",G$2:G1404))</f>
        <v/>
      </c>
    </row>
    <row r="1405">
      <c r="A1405" s="26" t="n"/>
      <c r="B1405" s="27" t="n"/>
      <c r="C1405" s="28" t="n"/>
      <c r="D1405" s="29" t="n"/>
      <c r="E1405" s="29" t="n"/>
      <c r="F1405" s="29" t="n"/>
      <c r="G1405" s="30" t="n"/>
      <c r="H1405" s="31">
        <f>IF(G1405="","",SUMIF(C$2:C1405,"Masuk",G$2:G1405)-SUMIF(C$2:C1405,"Keluar",G$2:G1405))</f>
        <v/>
      </c>
    </row>
    <row r="1406">
      <c r="A1406" s="22" t="n"/>
      <c r="B1406" s="23" t="n"/>
      <c r="C1406" s="24" t="n"/>
      <c r="D1406" s="17" t="n"/>
      <c r="E1406" s="17" t="n"/>
      <c r="F1406" s="17" t="n"/>
      <c r="G1406" s="15" t="n"/>
      <c r="H1406" s="25">
        <f>IF(G1406="","",SUMIF(C$2:C1406,"Masuk",G$2:G1406)-SUMIF(C$2:C1406,"Keluar",G$2:G1406))</f>
        <v/>
      </c>
    </row>
    <row r="1407">
      <c r="A1407" s="26" t="n"/>
      <c r="B1407" s="27" t="n"/>
      <c r="C1407" s="28" t="n"/>
      <c r="D1407" s="29" t="n"/>
      <c r="E1407" s="29" t="n"/>
      <c r="F1407" s="29" t="n"/>
      <c r="G1407" s="30" t="n"/>
      <c r="H1407" s="31">
        <f>IF(G1407="","",SUMIF(C$2:C1407,"Masuk",G$2:G1407)-SUMIF(C$2:C1407,"Keluar",G$2:G1407))</f>
        <v/>
      </c>
    </row>
    <row r="1408">
      <c r="A1408" s="22" t="n"/>
      <c r="B1408" s="23" t="n"/>
      <c r="C1408" s="24" t="n"/>
      <c r="D1408" s="17" t="n"/>
      <c r="E1408" s="17" t="n"/>
      <c r="F1408" s="17" t="n"/>
      <c r="G1408" s="15" t="n"/>
      <c r="H1408" s="25">
        <f>IF(G1408="","",SUMIF(C$2:C1408,"Masuk",G$2:G1408)-SUMIF(C$2:C1408,"Keluar",G$2:G1408))</f>
        <v/>
      </c>
    </row>
    <row r="1409">
      <c r="A1409" s="26" t="n"/>
      <c r="B1409" s="27" t="n"/>
      <c r="C1409" s="28" t="n"/>
      <c r="D1409" s="29" t="n"/>
      <c r="E1409" s="29" t="n"/>
      <c r="F1409" s="29" t="n"/>
      <c r="G1409" s="30" t="n"/>
      <c r="H1409" s="31">
        <f>IF(G1409="","",SUMIF(C$2:C1409,"Masuk",G$2:G1409)-SUMIF(C$2:C1409,"Keluar",G$2:G1409))</f>
        <v/>
      </c>
    </row>
    <row r="1410">
      <c r="A1410" s="22" t="n"/>
      <c r="B1410" s="23" t="n"/>
      <c r="C1410" s="24" t="n"/>
      <c r="D1410" s="17" t="n"/>
      <c r="E1410" s="17" t="n"/>
      <c r="F1410" s="17" t="n"/>
      <c r="G1410" s="15" t="n"/>
      <c r="H1410" s="25">
        <f>IF(G1410="","",SUMIF(C$2:C1410,"Masuk",G$2:G1410)-SUMIF(C$2:C1410,"Keluar",G$2:G1410))</f>
        <v/>
      </c>
    </row>
    <row r="1411">
      <c r="A1411" s="26" t="n"/>
      <c r="B1411" s="27" t="n"/>
      <c r="C1411" s="28" t="n"/>
      <c r="D1411" s="29" t="n"/>
      <c r="E1411" s="29" t="n"/>
      <c r="F1411" s="29" t="n"/>
      <c r="G1411" s="30" t="n"/>
      <c r="H1411" s="31">
        <f>IF(G1411="","",SUMIF(C$2:C1411,"Masuk",G$2:G1411)-SUMIF(C$2:C1411,"Keluar",G$2:G1411))</f>
        <v/>
      </c>
    </row>
    <row r="1412">
      <c r="A1412" s="22" t="n"/>
      <c r="B1412" s="23" t="n"/>
      <c r="C1412" s="24" t="n"/>
      <c r="D1412" s="17" t="n"/>
      <c r="E1412" s="17" t="n"/>
      <c r="F1412" s="17" t="n"/>
      <c r="G1412" s="15" t="n"/>
      <c r="H1412" s="25">
        <f>IF(G1412="","",SUMIF(C$2:C1412,"Masuk",G$2:G1412)-SUMIF(C$2:C1412,"Keluar",G$2:G1412))</f>
        <v/>
      </c>
    </row>
    <row r="1413">
      <c r="A1413" s="26" t="n"/>
      <c r="B1413" s="27" t="n"/>
      <c r="C1413" s="28" t="n"/>
      <c r="D1413" s="29" t="n"/>
      <c r="E1413" s="29" t="n"/>
      <c r="F1413" s="29" t="n"/>
      <c r="G1413" s="30" t="n"/>
      <c r="H1413" s="31">
        <f>IF(G1413="","",SUMIF(C$2:C1413,"Masuk",G$2:G1413)-SUMIF(C$2:C1413,"Keluar",G$2:G1413))</f>
        <v/>
      </c>
    </row>
    <row r="1414">
      <c r="A1414" s="22" t="n"/>
      <c r="B1414" s="23" t="n"/>
      <c r="C1414" s="24" t="n"/>
      <c r="D1414" s="17" t="n"/>
      <c r="E1414" s="17" t="n"/>
      <c r="F1414" s="17" t="n"/>
      <c r="G1414" s="15" t="n"/>
      <c r="H1414" s="25">
        <f>IF(G1414="","",SUMIF(C$2:C1414,"Masuk",G$2:G1414)-SUMIF(C$2:C1414,"Keluar",G$2:G1414))</f>
        <v/>
      </c>
    </row>
    <row r="1415">
      <c r="A1415" s="26" t="n"/>
      <c r="B1415" s="27" t="n"/>
      <c r="C1415" s="28" t="n"/>
      <c r="D1415" s="29" t="n"/>
      <c r="E1415" s="29" t="n"/>
      <c r="F1415" s="29" t="n"/>
      <c r="G1415" s="30" t="n"/>
      <c r="H1415" s="31">
        <f>IF(G1415="","",SUMIF(C$2:C1415,"Masuk",G$2:G1415)-SUMIF(C$2:C1415,"Keluar",G$2:G1415))</f>
        <v/>
      </c>
    </row>
    <row r="1416">
      <c r="A1416" s="22" t="n"/>
      <c r="B1416" s="23" t="n"/>
      <c r="C1416" s="24" t="n"/>
      <c r="D1416" s="17" t="n"/>
      <c r="E1416" s="17" t="n"/>
      <c r="F1416" s="17" t="n"/>
      <c r="G1416" s="15" t="n"/>
      <c r="H1416" s="25">
        <f>IF(G1416="","",SUMIF(C$2:C1416,"Masuk",G$2:G1416)-SUMIF(C$2:C1416,"Keluar",G$2:G1416))</f>
        <v/>
      </c>
    </row>
    <row r="1417">
      <c r="A1417" s="26" t="n"/>
      <c r="B1417" s="27" t="n"/>
      <c r="C1417" s="28" t="n"/>
      <c r="D1417" s="29" t="n"/>
      <c r="E1417" s="29" t="n"/>
      <c r="F1417" s="29" t="n"/>
      <c r="G1417" s="30" t="n"/>
      <c r="H1417" s="31">
        <f>IF(G1417="","",SUMIF(C$2:C1417,"Masuk",G$2:G1417)-SUMIF(C$2:C1417,"Keluar",G$2:G1417))</f>
        <v/>
      </c>
    </row>
    <row r="1418">
      <c r="A1418" s="22" t="n"/>
      <c r="B1418" s="23" t="n"/>
      <c r="C1418" s="24" t="n"/>
      <c r="D1418" s="17" t="n"/>
      <c r="E1418" s="17" t="n"/>
      <c r="F1418" s="17" t="n"/>
      <c r="G1418" s="15" t="n"/>
      <c r="H1418" s="25">
        <f>IF(G1418="","",SUMIF(C$2:C1418,"Masuk",G$2:G1418)-SUMIF(C$2:C1418,"Keluar",G$2:G1418))</f>
        <v/>
      </c>
    </row>
    <row r="1419">
      <c r="A1419" s="26" t="n"/>
      <c r="B1419" s="27" t="n"/>
      <c r="C1419" s="28" t="n"/>
      <c r="D1419" s="29" t="n"/>
      <c r="E1419" s="29" t="n"/>
      <c r="F1419" s="29" t="n"/>
      <c r="G1419" s="30" t="n"/>
      <c r="H1419" s="31">
        <f>IF(G1419="","",SUMIF(C$2:C1419,"Masuk",G$2:G1419)-SUMIF(C$2:C1419,"Keluar",G$2:G1419))</f>
        <v/>
      </c>
    </row>
    <row r="1420">
      <c r="A1420" s="22" t="n"/>
      <c r="B1420" s="23" t="n"/>
      <c r="C1420" s="24" t="n"/>
      <c r="D1420" s="17" t="n"/>
      <c r="E1420" s="17" t="n"/>
      <c r="F1420" s="17" t="n"/>
      <c r="G1420" s="15" t="n"/>
      <c r="H1420" s="25">
        <f>IF(G1420="","",SUMIF(C$2:C1420,"Masuk",G$2:G1420)-SUMIF(C$2:C1420,"Keluar",G$2:G1420))</f>
        <v/>
      </c>
    </row>
    <row r="1421">
      <c r="A1421" s="26" t="n"/>
      <c r="B1421" s="27" t="n"/>
      <c r="C1421" s="28" t="n"/>
      <c r="D1421" s="29" t="n"/>
      <c r="E1421" s="29" t="n"/>
      <c r="F1421" s="29" t="n"/>
      <c r="G1421" s="30" t="n"/>
      <c r="H1421" s="31">
        <f>IF(G1421="","",SUMIF(C$2:C1421,"Masuk",G$2:G1421)-SUMIF(C$2:C1421,"Keluar",G$2:G1421))</f>
        <v/>
      </c>
    </row>
    <row r="1422">
      <c r="A1422" s="22" t="n"/>
      <c r="B1422" s="23" t="n"/>
      <c r="C1422" s="24" t="n"/>
      <c r="D1422" s="17" t="n"/>
      <c r="E1422" s="17" t="n"/>
      <c r="F1422" s="17" t="n"/>
      <c r="G1422" s="15" t="n"/>
      <c r="H1422" s="25">
        <f>IF(G1422="","",SUMIF(C$2:C1422,"Masuk",G$2:G1422)-SUMIF(C$2:C1422,"Keluar",G$2:G1422))</f>
        <v/>
      </c>
    </row>
    <row r="1423">
      <c r="A1423" s="26" t="n"/>
      <c r="B1423" s="27" t="n"/>
      <c r="C1423" s="28" t="n"/>
      <c r="D1423" s="29" t="n"/>
      <c r="E1423" s="29" t="n"/>
      <c r="F1423" s="29" t="n"/>
      <c r="G1423" s="30" t="n"/>
      <c r="H1423" s="31">
        <f>IF(G1423="","",SUMIF(C$2:C1423,"Masuk",G$2:G1423)-SUMIF(C$2:C1423,"Keluar",G$2:G1423))</f>
        <v/>
      </c>
    </row>
    <row r="1424">
      <c r="A1424" s="22" t="n"/>
      <c r="B1424" s="23" t="n"/>
      <c r="C1424" s="24" t="n"/>
      <c r="D1424" s="17" t="n"/>
      <c r="E1424" s="17" t="n"/>
      <c r="F1424" s="17" t="n"/>
      <c r="G1424" s="15" t="n"/>
      <c r="H1424" s="25">
        <f>IF(G1424="","",SUMIF(C$2:C1424,"Masuk",G$2:G1424)-SUMIF(C$2:C1424,"Keluar",G$2:G1424))</f>
        <v/>
      </c>
    </row>
    <row r="1425">
      <c r="A1425" s="26" t="n"/>
      <c r="B1425" s="27" t="n"/>
      <c r="C1425" s="28" t="n"/>
      <c r="D1425" s="29" t="n"/>
      <c r="E1425" s="29" t="n"/>
      <c r="F1425" s="29" t="n"/>
      <c r="G1425" s="30" t="n"/>
      <c r="H1425" s="31">
        <f>IF(G1425="","",SUMIF(C$2:C1425,"Masuk",G$2:G1425)-SUMIF(C$2:C1425,"Keluar",G$2:G1425))</f>
        <v/>
      </c>
    </row>
    <row r="1426">
      <c r="A1426" s="22" t="n"/>
      <c r="B1426" s="23" t="n"/>
      <c r="C1426" s="24" t="n"/>
      <c r="D1426" s="17" t="n"/>
      <c r="E1426" s="17" t="n"/>
      <c r="F1426" s="17" t="n"/>
      <c r="G1426" s="15" t="n"/>
      <c r="H1426" s="25">
        <f>IF(G1426="","",SUMIF(C$2:C1426,"Masuk",G$2:G1426)-SUMIF(C$2:C1426,"Keluar",G$2:G1426))</f>
        <v/>
      </c>
    </row>
    <row r="1427">
      <c r="A1427" s="26" t="n"/>
      <c r="B1427" s="27" t="n"/>
      <c r="C1427" s="28" t="n"/>
      <c r="D1427" s="29" t="n"/>
      <c r="E1427" s="29" t="n"/>
      <c r="F1427" s="29" t="n"/>
      <c r="G1427" s="30" t="n"/>
      <c r="H1427" s="31">
        <f>IF(G1427="","",SUMIF(C$2:C1427,"Masuk",G$2:G1427)-SUMIF(C$2:C1427,"Keluar",G$2:G1427))</f>
        <v/>
      </c>
    </row>
    <row r="1428">
      <c r="A1428" s="22" t="n"/>
      <c r="B1428" s="23" t="n"/>
      <c r="C1428" s="24" t="n"/>
      <c r="D1428" s="17" t="n"/>
      <c r="E1428" s="17" t="n"/>
      <c r="F1428" s="17" t="n"/>
      <c r="G1428" s="15" t="n"/>
      <c r="H1428" s="25">
        <f>IF(G1428="","",SUMIF(C$2:C1428,"Masuk",G$2:G1428)-SUMIF(C$2:C1428,"Keluar",G$2:G1428))</f>
        <v/>
      </c>
    </row>
    <row r="1429">
      <c r="A1429" s="26" t="n"/>
      <c r="B1429" s="27" t="n"/>
      <c r="C1429" s="28" t="n"/>
      <c r="D1429" s="29" t="n"/>
      <c r="E1429" s="29" t="n"/>
      <c r="F1429" s="29" t="n"/>
      <c r="G1429" s="30" t="n"/>
      <c r="H1429" s="31">
        <f>IF(G1429="","",SUMIF(C$2:C1429,"Masuk",G$2:G1429)-SUMIF(C$2:C1429,"Keluar",G$2:G1429))</f>
        <v/>
      </c>
    </row>
    <row r="1430">
      <c r="A1430" s="22" t="n"/>
      <c r="B1430" s="23" t="n"/>
      <c r="C1430" s="24" t="n"/>
      <c r="D1430" s="17" t="n"/>
      <c r="E1430" s="17" t="n"/>
      <c r="F1430" s="17" t="n"/>
      <c r="G1430" s="15" t="n"/>
      <c r="H1430" s="25">
        <f>IF(G1430="","",SUMIF(C$2:C1430,"Masuk",G$2:G1430)-SUMIF(C$2:C1430,"Keluar",G$2:G1430))</f>
        <v/>
      </c>
    </row>
    <row r="1431">
      <c r="A1431" s="26" t="n"/>
      <c r="B1431" s="27" t="n"/>
      <c r="C1431" s="28" t="n"/>
      <c r="D1431" s="29" t="n"/>
      <c r="E1431" s="29" t="n"/>
      <c r="F1431" s="29" t="n"/>
      <c r="G1431" s="30" t="n"/>
      <c r="H1431" s="31">
        <f>IF(G1431="","",SUMIF(C$2:C1431,"Masuk",G$2:G1431)-SUMIF(C$2:C1431,"Keluar",G$2:G1431))</f>
        <v/>
      </c>
    </row>
    <row r="1432">
      <c r="A1432" s="22" t="n"/>
      <c r="B1432" s="23" t="n"/>
      <c r="C1432" s="24" t="n"/>
      <c r="D1432" s="17" t="n"/>
      <c r="E1432" s="17" t="n"/>
      <c r="F1432" s="17" t="n"/>
      <c r="G1432" s="15" t="n"/>
      <c r="H1432" s="25">
        <f>IF(G1432="","",SUMIF(C$2:C1432,"Masuk",G$2:G1432)-SUMIF(C$2:C1432,"Keluar",G$2:G1432))</f>
        <v/>
      </c>
    </row>
    <row r="1433">
      <c r="A1433" s="26" t="n"/>
      <c r="B1433" s="27" t="n"/>
      <c r="C1433" s="28" t="n"/>
      <c r="D1433" s="29" t="n"/>
      <c r="E1433" s="29" t="n"/>
      <c r="F1433" s="29" t="n"/>
      <c r="G1433" s="30" t="n"/>
      <c r="H1433" s="31">
        <f>IF(G1433="","",SUMIF(C$2:C1433,"Masuk",G$2:G1433)-SUMIF(C$2:C1433,"Keluar",G$2:G1433))</f>
        <v/>
      </c>
    </row>
    <row r="1434">
      <c r="A1434" s="22" t="n"/>
      <c r="B1434" s="23" t="n"/>
      <c r="C1434" s="24" t="n"/>
      <c r="D1434" s="17" t="n"/>
      <c r="E1434" s="17" t="n"/>
      <c r="F1434" s="17" t="n"/>
      <c r="G1434" s="15" t="n"/>
      <c r="H1434" s="25">
        <f>IF(G1434="","",SUMIF(C$2:C1434,"Masuk",G$2:G1434)-SUMIF(C$2:C1434,"Keluar",G$2:G1434))</f>
        <v/>
      </c>
    </row>
    <row r="1435">
      <c r="A1435" s="26" t="n"/>
      <c r="B1435" s="27" t="n"/>
      <c r="C1435" s="28" t="n"/>
      <c r="D1435" s="29" t="n"/>
      <c r="E1435" s="29" t="n"/>
      <c r="F1435" s="29" t="n"/>
      <c r="G1435" s="30" t="n"/>
      <c r="H1435" s="31">
        <f>IF(G1435="","",SUMIF(C$2:C1435,"Masuk",G$2:G1435)-SUMIF(C$2:C1435,"Keluar",G$2:G1435))</f>
        <v/>
      </c>
    </row>
    <row r="1436">
      <c r="A1436" s="22" t="n"/>
      <c r="B1436" s="23" t="n"/>
      <c r="C1436" s="24" t="n"/>
      <c r="D1436" s="17" t="n"/>
      <c r="E1436" s="17" t="n"/>
      <c r="F1436" s="17" t="n"/>
      <c r="G1436" s="15" t="n"/>
      <c r="H1436" s="25">
        <f>IF(G1436="","",SUMIF(C$2:C1436,"Masuk",G$2:G1436)-SUMIF(C$2:C1436,"Keluar",G$2:G1436))</f>
        <v/>
      </c>
    </row>
    <row r="1437">
      <c r="A1437" s="26" t="n"/>
      <c r="B1437" s="27" t="n"/>
      <c r="C1437" s="28" t="n"/>
      <c r="D1437" s="29" t="n"/>
      <c r="E1437" s="29" t="n"/>
      <c r="F1437" s="29" t="n"/>
      <c r="G1437" s="30" t="n"/>
      <c r="H1437" s="31">
        <f>IF(G1437="","",SUMIF(C$2:C1437,"Masuk",G$2:G1437)-SUMIF(C$2:C1437,"Keluar",G$2:G1437))</f>
        <v/>
      </c>
    </row>
    <row r="1438">
      <c r="A1438" s="22" t="n"/>
      <c r="B1438" s="23" t="n"/>
      <c r="C1438" s="24" t="n"/>
      <c r="D1438" s="17" t="n"/>
      <c r="E1438" s="17" t="n"/>
      <c r="F1438" s="17" t="n"/>
      <c r="G1438" s="15" t="n"/>
      <c r="H1438" s="25">
        <f>IF(G1438="","",SUMIF(C$2:C1438,"Masuk",G$2:G1438)-SUMIF(C$2:C1438,"Keluar",G$2:G1438))</f>
        <v/>
      </c>
    </row>
    <row r="1439">
      <c r="A1439" s="26" t="n"/>
      <c r="B1439" s="27" t="n"/>
      <c r="C1439" s="28" t="n"/>
      <c r="D1439" s="29" t="n"/>
      <c r="E1439" s="29" t="n"/>
      <c r="F1439" s="29" t="n"/>
      <c r="G1439" s="30" t="n"/>
      <c r="H1439" s="31">
        <f>IF(G1439="","",SUMIF(C$2:C1439,"Masuk",G$2:G1439)-SUMIF(C$2:C1439,"Keluar",G$2:G1439))</f>
        <v/>
      </c>
    </row>
    <row r="1440">
      <c r="A1440" s="22" t="n"/>
      <c r="B1440" s="23" t="n"/>
      <c r="C1440" s="24" t="n"/>
      <c r="D1440" s="17" t="n"/>
      <c r="E1440" s="17" t="n"/>
      <c r="F1440" s="17" t="n"/>
      <c r="G1440" s="15" t="n"/>
      <c r="H1440" s="25">
        <f>IF(G1440="","",SUMIF(C$2:C1440,"Masuk",G$2:G1440)-SUMIF(C$2:C1440,"Keluar",G$2:G1440))</f>
        <v/>
      </c>
    </row>
    <row r="1441">
      <c r="A1441" s="26" t="n"/>
      <c r="B1441" s="27" t="n"/>
      <c r="C1441" s="28" t="n"/>
      <c r="D1441" s="29" t="n"/>
      <c r="E1441" s="29" t="n"/>
      <c r="F1441" s="29" t="n"/>
      <c r="G1441" s="30" t="n"/>
      <c r="H1441" s="31">
        <f>IF(G1441="","",SUMIF(C$2:C1441,"Masuk",G$2:G1441)-SUMIF(C$2:C1441,"Keluar",G$2:G1441))</f>
        <v/>
      </c>
    </row>
    <row r="1442">
      <c r="A1442" s="22" t="n"/>
      <c r="B1442" s="23" t="n"/>
      <c r="C1442" s="24" t="n"/>
      <c r="D1442" s="17" t="n"/>
      <c r="E1442" s="17" t="n"/>
      <c r="F1442" s="17" t="n"/>
      <c r="G1442" s="15" t="n"/>
      <c r="H1442" s="25">
        <f>IF(G1442="","",SUMIF(C$2:C1442,"Masuk",G$2:G1442)-SUMIF(C$2:C1442,"Keluar",G$2:G1442))</f>
        <v/>
      </c>
    </row>
    <row r="1443">
      <c r="A1443" s="26" t="n"/>
      <c r="B1443" s="27" t="n"/>
      <c r="C1443" s="28" t="n"/>
      <c r="D1443" s="29" t="n"/>
      <c r="E1443" s="29" t="n"/>
      <c r="F1443" s="29" t="n"/>
      <c r="G1443" s="30" t="n"/>
      <c r="H1443" s="31">
        <f>IF(G1443="","",SUMIF(C$2:C1443,"Masuk",G$2:G1443)-SUMIF(C$2:C1443,"Keluar",G$2:G1443))</f>
        <v/>
      </c>
    </row>
    <row r="1444">
      <c r="A1444" s="22" t="n"/>
      <c r="B1444" s="23" t="n"/>
      <c r="C1444" s="24" t="n"/>
      <c r="D1444" s="17" t="n"/>
      <c r="E1444" s="17" t="n"/>
      <c r="F1444" s="17" t="n"/>
      <c r="G1444" s="15" t="n"/>
      <c r="H1444" s="25">
        <f>IF(G1444="","",SUMIF(C$2:C1444,"Masuk",G$2:G1444)-SUMIF(C$2:C1444,"Keluar",G$2:G1444))</f>
        <v/>
      </c>
    </row>
    <row r="1445">
      <c r="A1445" s="26" t="n"/>
      <c r="B1445" s="27" t="n"/>
      <c r="C1445" s="28" t="n"/>
      <c r="D1445" s="29" t="n"/>
      <c r="E1445" s="29" t="n"/>
      <c r="F1445" s="29" t="n"/>
      <c r="G1445" s="30" t="n"/>
      <c r="H1445" s="31">
        <f>IF(G1445="","",SUMIF(C$2:C1445,"Masuk",G$2:G1445)-SUMIF(C$2:C1445,"Keluar",G$2:G1445))</f>
        <v/>
      </c>
    </row>
    <row r="1446">
      <c r="A1446" s="22" t="n"/>
      <c r="B1446" s="23" t="n"/>
      <c r="C1446" s="24" t="n"/>
      <c r="D1446" s="17" t="n"/>
      <c r="E1446" s="17" t="n"/>
      <c r="F1446" s="17" t="n"/>
      <c r="G1446" s="15" t="n"/>
      <c r="H1446" s="25">
        <f>IF(G1446="","",SUMIF(C$2:C1446,"Masuk",G$2:G1446)-SUMIF(C$2:C1446,"Keluar",G$2:G1446))</f>
        <v/>
      </c>
    </row>
    <row r="1447">
      <c r="A1447" s="26" t="n"/>
      <c r="B1447" s="27" t="n"/>
      <c r="C1447" s="28" t="n"/>
      <c r="D1447" s="29" t="n"/>
      <c r="E1447" s="29" t="n"/>
      <c r="F1447" s="29" t="n"/>
      <c r="G1447" s="30" t="n"/>
      <c r="H1447" s="31">
        <f>IF(G1447="","",SUMIF(C$2:C1447,"Masuk",G$2:G1447)-SUMIF(C$2:C1447,"Keluar",G$2:G1447))</f>
        <v/>
      </c>
    </row>
    <row r="1448">
      <c r="A1448" s="22" t="n"/>
      <c r="B1448" s="23" t="n"/>
      <c r="C1448" s="24" t="n"/>
      <c r="D1448" s="17" t="n"/>
      <c r="E1448" s="17" t="n"/>
      <c r="F1448" s="17" t="n"/>
      <c r="G1448" s="15" t="n"/>
      <c r="H1448" s="25">
        <f>IF(G1448="","",SUMIF(C$2:C1448,"Masuk",G$2:G1448)-SUMIF(C$2:C1448,"Keluar",G$2:G1448))</f>
        <v/>
      </c>
    </row>
    <row r="1449">
      <c r="A1449" s="26" t="n"/>
      <c r="B1449" s="27" t="n"/>
      <c r="C1449" s="28" t="n"/>
      <c r="D1449" s="29" t="n"/>
      <c r="E1449" s="29" t="n"/>
      <c r="F1449" s="29" t="n"/>
      <c r="G1449" s="30" t="n"/>
      <c r="H1449" s="31">
        <f>IF(G1449="","",SUMIF(C$2:C1449,"Masuk",G$2:G1449)-SUMIF(C$2:C1449,"Keluar",G$2:G1449))</f>
        <v/>
      </c>
    </row>
    <row r="1450">
      <c r="A1450" s="22" t="n"/>
      <c r="B1450" s="23" t="n"/>
      <c r="C1450" s="24" t="n"/>
      <c r="D1450" s="17" t="n"/>
      <c r="E1450" s="17" t="n"/>
      <c r="F1450" s="17" t="n"/>
      <c r="G1450" s="15" t="n"/>
      <c r="H1450" s="25">
        <f>IF(G1450="","",SUMIF(C$2:C1450,"Masuk",G$2:G1450)-SUMIF(C$2:C1450,"Keluar",G$2:G1450))</f>
        <v/>
      </c>
    </row>
    <row r="1451">
      <c r="A1451" s="26" t="n"/>
      <c r="B1451" s="27" t="n"/>
      <c r="C1451" s="28" t="n"/>
      <c r="D1451" s="29" t="n"/>
      <c r="E1451" s="29" t="n"/>
      <c r="F1451" s="29" t="n"/>
      <c r="G1451" s="30" t="n"/>
      <c r="H1451" s="31">
        <f>IF(G1451="","",SUMIF(C$2:C1451,"Masuk",G$2:G1451)-SUMIF(C$2:C1451,"Keluar",G$2:G1451))</f>
        <v/>
      </c>
    </row>
    <row r="1452">
      <c r="A1452" s="22" t="n"/>
      <c r="B1452" s="23" t="n"/>
      <c r="C1452" s="24" t="n"/>
      <c r="D1452" s="17" t="n"/>
      <c r="E1452" s="17" t="n"/>
      <c r="F1452" s="17" t="n"/>
      <c r="G1452" s="15" t="n"/>
      <c r="H1452" s="25">
        <f>IF(G1452="","",SUMIF(C$2:C1452,"Masuk",G$2:G1452)-SUMIF(C$2:C1452,"Keluar",G$2:G1452))</f>
        <v/>
      </c>
    </row>
    <row r="1453">
      <c r="A1453" s="26" t="n"/>
      <c r="B1453" s="27" t="n"/>
      <c r="C1453" s="28" t="n"/>
      <c r="D1453" s="29" t="n"/>
      <c r="E1453" s="29" t="n"/>
      <c r="F1453" s="29" t="n"/>
      <c r="G1453" s="30" t="n"/>
      <c r="H1453" s="31">
        <f>IF(G1453="","",SUMIF(C$2:C1453,"Masuk",G$2:G1453)-SUMIF(C$2:C1453,"Keluar",G$2:G1453))</f>
        <v/>
      </c>
    </row>
    <row r="1454">
      <c r="A1454" s="22" t="n"/>
      <c r="B1454" s="23" t="n"/>
      <c r="C1454" s="24" t="n"/>
      <c r="D1454" s="17" t="n"/>
      <c r="E1454" s="17" t="n"/>
      <c r="F1454" s="17" t="n"/>
      <c r="G1454" s="15" t="n"/>
      <c r="H1454" s="25">
        <f>IF(G1454="","",SUMIF(C$2:C1454,"Masuk",G$2:G1454)-SUMIF(C$2:C1454,"Keluar",G$2:G1454))</f>
        <v/>
      </c>
    </row>
    <row r="1455">
      <c r="A1455" s="26" t="n"/>
      <c r="B1455" s="27" t="n"/>
      <c r="C1455" s="28" t="n"/>
      <c r="D1455" s="29" t="n"/>
      <c r="E1455" s="29" t="n"/>
      <c r="F1455" s="29" t="n"/>
      <c r="G1455" s="30" t="n"/>
      <c r="H1455" s="31">
        <f>IF(G1455="","",SUMIF(C$2:C1455,"Masuk",G$2:G1455)-SUMIF(C$2:C1455,"Keluar",G$2:G1455))</f>
        <v/>
      </c>
    </row>
    <row r="1456">
      <c r="A1456" s="22" t="n"/>
      <c r="B1456" s="23" t="n"/>
      <c r="C1456" s="24" t="n"/>
      <c r="D1456" s="17" t="n"/>
      <c r="E1456" s="17" t="n"/>
      <c r="F1456" s="17" t="n"/>
      <c r="G1456" s="15" t="n"/>
      <c r="H1456" s="25">
        <f>IF(G1456="","",SUMIF(C$2:C1456,"Masuk",G$2:G1456)-SUMIF(C$2:C1456,"Keluar",G$2:G1456))</f>
        <v/>
      </c>
    </row>
    <row r="1457">
      <c r="A1457" s="26" t="n"/>
      <c r="B1457" s="27" t="n"/>
      <c r="C1457" s="28" t="n"/>
      <c r="D1457" s="29" t="n"/>
      <c r="E1457" s="29" t="n"/>
      <c r="F1457" s="29" t="n"/>
      <c r="G1457" s="30" t="n"/>
      <c r="H1457" s="31">
        <f>IF(G1457="","",SUMIF(C$2:C1457,"Masuk",G$2:G1457)-SUMIF(C$2:C1457,"Keluar",G$2:G1457))</f>
        <v/>
      </c>
    </row>
    <row r="1458">
      <c r="A1458" s="22" t="n"/>
      <c r="B1458" s="23" t="n"/>
      <c r="C1458" s="24" t="n"/>
      <c r="D1458" s="17" t="n"/>
      <c r="E1458" s="17" t="n"/>
      <c r="F1458" s="17" t="n"/>
      <c r="G1458" s="15" t="n"/>
      <c r="H1458" s="25">
        <f>IF(G1458="","",SUMIF(C$2:C1458,"Masuk",G$2:G1458)-SUMIF(C$2:C1458,"Keluar",G$2:G1458))</f>
        <v/>
      </c>
    </row>
    <row r="1459">
      <c r="A1459" s="26" t="n"/>
      <c r="B1459" s="27" t="n"/>
      <c r="C1459" s="28" t="n"/>
      <c r="D1459" s="29" t="n"/>
      <c r="E1459" s="29" t="n"/>
      <c r="F1459" s="29" t="n"/>
      <c r="G1459" s="30" t="n"/>
      <c r="H1459" s="31">
        <f>IF(G1459="","",SUMIF(C$2:C1459,"Masuk",G$2:G1459)-SUMIF(C$2:C1459,"Keluar",G$2:G1459))</f>
        <v/>
      </c>
    </row>
    <row r="1460">
      <c r="A1460" s="22" t="n"/>
      <c r="B1460" s="23" t="n"/>
      <c r="C1460" s="24" t="n"/>
      <c r="D1460" s="17" t="n"/>
      <c r="E1460" s="17" t="n"/>
      <c r="F1460" s="17" t="n"/>
      <c r="G1460" s="15" t="n"/>
      <c r="H1460" s="25">
        <f>IF(G1460="","",SUMIF(C$2:C1460,"Masuk",G$2:G1460)-SUMIF(C$2:C1460,"Keluar",G$2:G1460))</f>
        <v/>
      </c>
    </row>
    <row r="1461">
      <c r="A1461" s="26" t="n"/>
      <c r="B1461" s="27" t="n"/>
      <c r="C1461" s="28" t="n"/>
      <c r="D1461" s="29" t="n"/>
      <c r="E1461" s="29" t="n"/>
      <c r="F1461" s="29" t="n"/>
      <c r="G1461" s="30" t="n"/>
      <c r="H1461" s="31">
        <f>IF(G1461="","",SUMIF(C$2:C1461,"Masuk",G$2:G1461)-SUMIF(C$2:C1461,"Keluar",G$2:G1461))</f>
        <v/>
      </c>
    </row>
    <row r="1462">
      <c r="A1462" s="22" t="n"/>
      <c r="B1462" s="23" t="n"/>
      <c r="C1462" s="24" t="n"/>
      <c r="D1462" s="17" t="n"/>
      <c r="E1462" s="17" t="n"/>
      <c r="F1462" s="17" t="n"/>
      <c r="G1462" s="15" t="n"/>
      <c r="H1462" s="25">
        <f>IF(G1462="","",SUMIF(C$2:C1462,"Masuk",G$2:G1462)-SUMIF(C$2:C1462,"Keluar",G$2:G1462))</f>
        <v/>
      </c>
    </row>
    <row r="1463">
      <c r="A1463" s="26" t="n"/>
      <c r="B1463" s="27" t="n"/>
      <c r="C1463" s="28" t="n"/>
      <c r="D1463" s="29" t="n"/>
      <c r="E1463" s="29" t="n"/>
      <c r="F1463" s="29" t="n"/>
      <c r="G1463" s="30" t="n"/>
      <c r="H1463" s="31">
        <f>IF(G1463="","",SUMIF(C$2:C1463,"Masuk",G$2:G1463)-SUMIF(C$2:C1463,"Keluar",G$2:G1463))</f>
        <v/>
      </c>
    </row>
    <row r="1464">
      <c r="A1464" s="22" t="n"/>
      <c r="B1464" s="23" t="n"/>
      <c r="C1464" s="24" t="n"/>
      <c r="D1464" s="17" t="n"/>
      <c r="E1464" s="17" t="n"/>
      <c r="F1464" s="17" t="n"/>
      <c r="G1464" s="15" t="n"/>
      <c r="H1464" s="25">
        <f>IF(G1464="","",SUMIF(C$2:C1464,"Masuk",G$2:G1464)-SUMIF(C$2:C1464,"Keluar",G$2:G1464))</f>
        <v/>
      </c>
    </row>
    <row r="1465">
      <c r="A1465" s="26" t="n"/>
      <c r="B1465" s="27" t="n"/>
      <c r="C1465" s="28" t="n"/>
      <c r="D1465" s="29" t="n"/>
      <c r="E1465" s="29" t="n"/>
      <c r="F1465" s="29" t="n"/>
      <c r="G1465" s="30" t="n"/>
      <c r="H1465" s="31">
        <f>IF(G1465="","",SUMIF(C$2:C1465,"Masuk",G$2:G1465)-SUMIF(C$2:C1465,"Keluar",G$2:G1465))</f>
        <v/>
      </c>
    </row>
    <row r="1466">
      <c r="A1466" s="22" t="n"/>
      <c r="B1466" s="23" t="n"/>
      <c r="C1466" s="24" t="n"/>
      <c r="D1466" s="17" t="n"/>
      <c r="E1466" s="17" t="n"/>
      <c r="F1466" s="17" t="n"/>
      <c r="G1466" s="15" t="n"/>
      <c r="H1466" s="25">
        <f>IF(G1466="","",SUMIF(C$2:C1466,"Masuk",G$2:G1466)-SUMIF(C$2:C1466,"Keluar",G$2:G1466))</f>
        <v/>
      </c>
    </row>
    <row r="1467">
      <c r="A1467" s="26" t="n"/>
      <c r="B1467" s="27" t="n"/>
      <c r="C1467" s="28" t="n"/>
      <c r="D1467" s="29" t="n"/>
      <c r="E1467" s="29" t="n"/>
      <c r="F1467" s="29" t="n"/>
      <c r="G1467" s="30" t="n"/>
      <c r="H1467" s="31">
        <f>IF(G1467="","",SUMIF(C$2:C1467,"Masuk",G$2:G1467)-SUMIF(C$2:C1467,"Keluar",G$2:G1467))</f>
        <v/>
      </c>
    </row>
    <row r="1468">
      <c r="A1468" s="22" t="n"/>
      <c r="B1468" s="23" t="n"/>
      <c r="C1468" s="24" t="n"/>
      <c r="D1468" s="17" t="n"/>
      <c r="E1468" s="17" t="n"/>
      <c r="F1468" s="17" t="n"/>
      <c r="G1468" s="15" t="n"/>
      <c r="H1468" s="25">
        <f>IF(G1468="","",SUMIF(C$2:C1468,"Masuk",G$2:G1468)-SUMIF(C$2:C1468,"Keluar",G$2:G1468))</f>
        <v/>
      </c>
    </row>
    <row r="1469">
      <c r="A1469" s="26" t="n"/>
      <c r="B1469" s="27" t="n"/>
      <c r="C1469" s="28" t="n"/>
      <c r="D1469" s="29" t="n"/>
      <c r="E1469" s="29" t="n"/>
      <c r="F1469" s="29" t="n"/>
      <c r="G1469" s="30" t="n"/>
      <c r="H1469" s="31">
        <f>IF(G1469="","",SUMIF(C$2:C1469,"Masuk",G$2:G1469)-SUMIF(C$2:C1469,"Keluar",G$2:G1469))</f>
        <v/>
      </c>
    </row>
    <row r="1470">
      <c r="A1470" s="22" t="n"/>
      <c r="B1470" s="23" t="n"/>
      <c r="C1470" s="24" t="n"/>
      <c r="D1470" s="17" t="n"/>
      <c r="E1470" s="17" t="n"/>
      <c r="F1470" s="17" t="n"/>
      <c r="G1470" s="15" t="n"/>
      <c r="H1470" s="25">
        <f>IF(G1470="","",SUMIF(C$2:C1470,"Masuk",G$2:G1470)-SUMIF(C$2:C1470,"Keluar",G$2:G1470))</f>
        <v/>
      </c>
    </row>
    <row r="1471">
      <c r="A1471" s="26" t="n"/>
      <c r="B1471" s="27" t="n"/>
      <c r="C1471" s="28" t="n"/>
      <c r="D1471" s="29" t="n"/>
      <c r="E1471" s="29" t="n"/>
      <c r="F1471" s="29" t="n"/>
      <c r="G1471" s="30" t="n"/>
      <c r="H1471" s="31">
        <f>IF(G1471="","",SUMIF(C$2:C1471,"Masuk",G$2:G1471)-SUMIF(C$2:C1471,"Keluar",G$2:G1471))</f>
        <v/>
      </c>
    </row>
    <row r="1472">
      <c r="A1472" s="22" t="n"/>
      <c r="B1472" s="23" t="n"/>
      <c r="C1472" s="24" t="n"/>
      <c r="D1472" s="17" t="n"/>
      <c r="E1472" s="17" t="n"/>
      <c r="F1472" s="17" t="n"/>
      <c r="G1472" s="15" t="n"/>
      <c r="H1472" s="25">
        <f>IF(G1472="","",SUMIF(C$2:C1472,"Masuk",G$2:G1472)-SUMIF(C$2:C1472,"Keluar",G$2:G1472))</f>
        <v/>
      </c>
    </row>
    <row r="1473">
      <c r="A1473" s="26" t="n"/>
      <c r="B1473" s="27" t="n"/>
      <c r="C1473" s="28" t="n"/>
      <c r="D1473" s="29" t="n"/>
      <c r="E1473" s="29" t="n"/>
      <c r="F1473" s="29" t="n"/>
      <c r="G1473" s="30" t="n"/>
      <c r="H1473" s="31">
        <f>IF(G1473="","",SUMIF(C$2:C1473,"Masuk",G$2:G1473)-SUMIF(C$2:C1473,"Keluar",G$2:G1473))</f>
        <v/>
      </c>
    </row>
    <row r="1474">
      <c r="A1474" s="22" t="n"/>
      <c r="B1474" s="23" t="n"/>
      <c r="C1474" s="24" t="n"/>
      <c r="D1474" s="17" t="n"/>
      <c r="E1474" s="17" t="n"/>
      <c r="F1474" s="17" t="n"/>
      <c r="G1474" s="15" t="n"/>
      <c r="H1474" s="25">
        <f>IF(G1474="","",SUMIF(C$2:C1474,"Masuk",G$2:G1474)-SUMIF(C$2:C1474,"Keluar",G$2:G1474))</f>
        <v/>
      </c>
    </row>
    <row r="1475">
      <c r="A1475" s="26" t="n"/>
      <c r="B1475" s="27" t="n"/>
      <c r="C1475" s="28" t="n"/>
      <c r="D1475" s="29" t="n"/>
      <c r="E1475" s="29" t="n"/>
      <c r="F1475" s="29" t="n"/>
      <c r="G1475" s="30" t="n"/>
      <c r="H1475" s="31">
        <f>IF(G1475="","",SUMIF(C$2:C1475,"Masuk",G$2:G1475)-SUMIF(C$2:C1475,"Keluar",G$2:G1475))</f>
        <v/>
      </c>
    </row>
    <row r="1476">
      <c r="A1476" s="22" t="n"/>
      <c r="B1476" s="23" t="n"/>
      <c r="C1476" s="24" t="n"/>
      <c r="D1476" s="17" t="n"/>
      <c r="E1476" s="17" t="n"/>
      <c r="F1476" s="17" t="n"/>
      <c r="G1476" s="15" t="n"/>
      <c r="H1476" s="25">
        <f>IF(G1476="","",SUMIF(C$2:C1476,"Masuk",G$2:G1476)-SUMIF(C$2:C1476,"Keluar",G$2:G1476))</f>
        <v/>
      </c>
    </row>
    <row r="1477">
      <c r="A1477" s="26" t="n"/>
      <c r="B1477" s="27" t="n"/>
      <c r="C1477" s="28" t="n"/>
      <c r="D1477" s="29" t="n"/>
      <c r="E1477" s="29" t="n"/>
      <c r="F1477" s="29" t="n"/>
      <c r="G1477" s="30" t="n"/>
      <c r="H1477" s="31">
        <f>IF(G1477="","",SUMIF(C$2:C1477,"Masuk",G$2:G1477)-SUMIF(C$2:C1477,"Keluar",G$2:G1477))</f>
        <v/>
      </c>
    </row>
    <row r="1478">
      <c r="A1478" s="22" t="n"/>
      <c r="B1478" s="23" t="n"/>
      <c r="C1478" s="24" t="n"/>
      <c r="D1478" s="17" t="n"/>
      <c r="E1478" s="17" t="n"/>
      <c r="F1478" s="17" t="n"/>
      <c r="G1478" s="15" t="n"/>
      <c r="H1478" s="25">
        <f>IF(G1478="","",SUMIF(C$2:C1478,"Masuk",G$2:G1478)-SUMIF(C$2:C1478,"Keluar",G$2:G1478))</f>
        <v/>
      </c>
    </row>
    <row r="1479">
      <c r="A1479" s="26" t="n"/>
      <c r="B1479" s="27" t="n"/>
      <c r="C1479" s="28" t="n"/>
      <c r="D1479" s="29" t="n"/>
      <c r="E1479" s="29" t="n"/>
      <c r="F1479" s="29" t="n"/>
      <c r="G1479" s="30" t="n"/>
      <c r="H1479" s="31">
        <f>IF(G1479="","",SUMIF(C$2:C1479,"Masuk",G$2:G1479)-SUMIF(C$2:C1479,"Keluar",G$2:G1479))</f>
        <v/>
      </c>
    </row>
    <row r="1480">
      <c r="A1480" s="22" t="n"/>
      <c r="B1480" s="23" t="n"/>
      <c r="C1480" s="24" t="n"/>
      <c r="D1480" s="17" t="n"/>
      <c r="E1480" s="17" t="n"/>
      <c r="F1480" s="17" t="n"/>
      <c r="G1480" s="15" t="n"/>
      <c r="H1480" s="25">
        <f>IF(G1480="","",SUMIF(C$2:C1480,"Masuk",G$2:G1480)-SUMIF(C$2:C1480,"Keluar",G$2:G1480))</f>
        <v/>
      </c>
    </row>
    <row r="1481">
      <c r="A1481" s="26" t="n"/>
      <c r="B1481" s="27" t="n"/>
      <c r="C1481" s="28" t="n"/>
      <c r="D1481" s="29" t="n"/>
      <c r="E1481" s="29" t="n"/>
      <c r="F1481" s="29" t="n"/>
      <c r="G1481" s="30" t="n"/>
      <c r="H1481" s="31">
        <f>IF(G1481="","",SUMIF(C$2:C1481,"Masuk",G$2:G1481)-SUMIF(C$2:C1481,"Keluar",G$2:G1481))</f>
        <v/>
      </c>
    </row>
    <row r="1482">
      <c r="A1482" s="22" t="n"/>
      <c r="B1482" s="23" t="n"/>
      <c r="C1482" s="24" t="n"/>
      <c r="D1482" s="17" t="n"/>
      <c r="E1482" s="17" t="n"/>
      <c r="F1482" s="17" t="n"/>
      <c r="G1482" s="15" t="n"/>
      <c r="H1482" s="25">
        <f>IF(G1482="","",SUMIF(C$2:C1482,"Masuk",G$2:G1482)-SUMIF(C$2:C1482,"Keluar",G$2:G1482))</f>
        <v/>
      </c>
    </row>
    <row r="1483">
      <c r="A1483" s="26" t="n"/>
      <c r="B1483" s="27" t="n"/>
      <c r="C1483" s="28" t="n"/>
      <c r="D1483" s="29" t="n"/>
      <c r="E1483" s="29" t="n"/>
      <c r="F1483" s="29" t="n"/>
      <c r="G1483" s="30" t="n"/>
      <c r="H1483" s="31">
        <f>IF(G1483="","",SUMIF(C$2:C1483,"Masuk",G$2:G1483)-SUMIF(C$2:C1483,"Keluar",G$2:G1483))</f>
        <v/>
      </c>
    </row>
    <row r="1484">
      <c r="A1484" s="22" t="n"/>
      <c r="B1484" s="23" t="n"/>
      <c r="C1484" s="24" t="n"/>
      <c r="D1484" s="17" t="n"/>
      <c r="E1484" s="17" t="n"/>
      <c r="F1484" s="17" t="n"/>
      <c r="G1484" s="15" t="n"/>
      <c r="H1484" s="25">
        <f>IF(G1484="","",SUMIF(C$2:C1484,"Masuk",G$2:G1484)-SUMIF(C$2:C1484,"Keluar",G$2:G1484))</f>
        <v/>
      </c>
    </row>
    <row r="1485">
      <c r="A1485" s="26" t="n"/>
      <c r="B1485" s="27" t="n"/>
      <c r="C1485" s="28" t="n"/>
      <c r="D1485" s="29" t="n"/>
      <c r="E1485" s="29" t="n"/>
      <c r="F1485" s="29" t="n"/>
      <c r="G1485" s="30" t="n"/>
      <c r="H1485" s="31">
        <f>IF(G1485="","",SUMIF(C$2:C1485,"Masuk",G$2:G1485)-SUMIF(C$2:C1485,"Keluar",G$2:G1485))</f>
        <v/>
      </c>
    </row>
    <row r="1486">
      <c r="A1486" s="22" t="n"/>
      <c r="B1486" s="23" t="n"/>
      <c r="C1486" s="24" t="n"/>
      <c r="D1486" s="17" t="n"/>
      <c r="E1486" s="17" t="n"/>
      <c r="F1486" s="17" t="n"/>
      <c r="G1486" s="15" t="n"/>
      <c r="H1486" s="25">
        <f>IF(G1486="","",SUMIF(C$2:C1486,"Masuk",G$2:G1486)-SUMIF(C$2:C1486,"Keluar",G$2:G1486))</f>
        <v/>
      </c>
    </row>
    <row r="1487">
      <c r="A1487" s="26" t="n"/>
      <c r="B1487" s="27" t="n"/>
      <c r="C1487" s="28" t="n"/>
      <c r="D1487" s="29" t="n"/>
      <c r="E1487" s="29" t="n"/>
      <c r="F1487" s="29" t="n"/>
      <c r="G1487" s="30" t="n"/>
      <c r="H1487" s="31">
        <f>IF(G1487="","",SUMIF(C$2:C1487,"Masuk",G$2:G1487)-SUMIF(C$2:C1487,"Keluar",G$2:G1487))</f>
        <v/>
      </c>
    </row>
    <row r="1488">
      <c r="A1488" s="22" t="n"/>
      <c r="B1488" s="23" t="n"/>
      <c r="C1488" s="24" t="n"/>
      <c r="D1488" s="17" t="n"/>
      <c r="E1488" s="17" t="n"/>
      <c r="F1488" s="17" t="n"/>
      <c r="G1488" s="15" t="n"/>
      <c r="H1488" s="25">
        <f>IF(G1488="","",SUMIF(C$2:C1488,"Masuk",G$2:G1488)-SUMIF(C$2:C1488,"Keluar",G$2:G1488))</f>
        <v/>
      </c>
    </row>
    <row r="1489">
      <c r="A1489" s="26" t="n"/>
      <c r="B1489" s="27" t="n"/>
      <c r="C1489" s="28" t="n"/>
      <c r="D1489" s="29" t="n"/>
      <c r="E1489" s="29" t="n"/>
      <c r="F1489" s="29" t="n"/>
      <c r="G1489" s="30" t="n"/>
      <c r="H1489" s="31">
        <f>IF(G1489="","",SUMIF(C$2:C1489,"Masuk",G$2:G1489)-SUMIF(C$2:C1489,"Keluar",G$2:G1489))</f>
        <v/>
      </c>
    </row>
    <row r="1490">
      <c r="A1490" s="22" t="n"/>
      <c r="B1490" s="23" t="n"/>
      <c r="C1490" s="24" t="n"/>
      <c r="D1490" s="17" t="n"/>
      <c r="E1490" s="17" t="n"/>
      <c r="F1490" s="17" t="n"/>
      <c r="G1490" s="15" t="n"/>
      <c r="H1490" s="25">
        <f>IF(G1490="","",SUMIF(C$2:C1490,"Masuk",G$2:G1490)-SUMIF(C$2:C1490,"Keluar",G$2:G1490))</f>
        <v/>
      </c>
    </row>
    <row r="1491">
      <c r="A1491" s="26" t="n"/>
      <c r="B1491" s="27" t="n"/>
      <c r="C1491" s="28" t="n"/>
      <c r="D1491" s="29" t="n"/>
      <c r="E1491" s="29" t="n"/>
      <c r="F1491" s="29" t="n"/>
      <c r="G1491" s="30" t="n"/>
      <c r="H1491" s="31">
        <f>IF(G1491="","",SUMIF(C$2:C1491,"Masuk",G$2:G1491)-SUMIF(C$2:C1491,"Keluar",G$2:G1491))</f>
        <v/>
      </c>
    </row>
    <row r="1492">
      <c r="A1492" s="22" t="n"/>
      <c r="B1492" s="23" t="n"/>
      <c r="C1492" s="24" t="n"/>
      <c r="D1492" s="17" t="n"/>
      <c r="E1492" s="17" t="n"/>
      <c r="F1492" s="17" t="n"/>
      <c r="G1492" s="15" t="n"/>
      <c r="H1492" s="25">
        <f>IF(G1492="","",SUMIF(C$2:C1492,"Masuk",G$2:G1492)-SUMIF(C$2:C1492,"Keluar",G$2:G1492))</f>
        <v/>
      </c>
    </row>
    <row r="1493">
      <c r="A1493" s="26" t="n"/>
      <c r="B1493" s="27" t="n"/>
      <c r="C1493" s="28" t="n"/>
      <c r="D1493" s="29" t="n"/>
      <c r="E1493" s="29" t="n"/>
      <c r="F1493" s="29" t="n"/>
      <c r="G1493" s="30" t="n"/>
      <c r="H1493" s="31">
        <f>IF(G1493="","",SUMIF(C$2:C1493,"Masuk",G$2:G1493)-SUMIF(C$2:C1493,"Keluar",G$2:G1493))</f>
        <v/>
      </c>
    </row>
    <row r="1494">
      <c r="A1494" s="22" t="n"/>
      <c r="B1494" s="23" t="n"/>
      <c r="C1494" s="24" t="n"/>
      <c r="D1494" s="17" t="n"/>
      <c r="E1494" s="17" t="n"/>
      <c r="F1494" s="17" t="n"/>
      <c r="G1494" s="15" t="n"/>
      <c r="H1494" s="25">
        <f>IF(G1494="","",SUMIF(C$2:C1494,"Masuk",G$2:G1494)-SUMIF(C$2:C1494,"Keluar",G$2:G1494))</f>
        <v/>
      </c>
    </row>
    <row r="1495">
      <c r="A1495" s="26" t="n"/>
      <c r="B1495" s="27" t="n"/>
      <c r="C1495" s="28" t="n"/>
      <c r="D1495" s="29" t="n"/>
      <c r="E1495" s="29" t="n"/>
      <c r="F1495" s="29" t="n"/>
      <c r="G1495" s="30" t="n"/>
      <c r="H1495" s="31">
        <f>IF(G1495="","",SUMIF(C$2:C1495,"Masuk",G$2:G1495)-SUMIF(C$2:C1495,"Keluar",G$2:G1495))</f>
        <v/>
      </c>
    </row>
    <row r="1496">
      <c r="A1496" s="22" t="n"/>
      <c r="B1496" s="23" t="n"/>
      <c r="C1496" s="24" t="n"/>
      <c r="D1496" s="17" t="n"/>
      <c r="E1496" s="17" t="n"/>
      <c r="F1496" s="17" t="n"/>
      <c r="G1496" s="15" t="n"/>
      <c r="H1496" s="25">
        <f>IF(G1496="","",SUMIF(C$2:C1496,"Masuk",G$2:G1496)-SUMIF(C$2:C1496,"Keluar",G$2:G1496))</f>
        <v/>
      </c>
    </row>
    <row r="1497">
      <c r="A1497" s="26" t="n"/>
      <c r="B1497" s="27" t="n"/>
      <c r="C1497" s="28" t="n"/>
      <c r="D1497" s="29" t="n"/>
      <c r="E1497" s="29" t="n"/>
      <c r="F1497" s="29" t="n"/>
      <c r="G1497" s="30" t="n"/>
      <c r="H1497" s="31">
        <f>IF(G1497="","",SUMIF(C$2:C1497,"Masuk",G$2:G1497)-SUMIF(C$2:C1497,"Keluar",G$2:G1497))</f>
        <v/>
      </c>
    </row>
    <row r="1498">
      <c r="A1498" s="22" t="n"/>
      <c r="B1498" s="23" t="n"/>
      <c r="C1498" s="24" t="n"/>
      <c r="D1498" s="17" t="n"/>
      <c r="E1498" s="17" t="n"/>
      <c r="F1498" s="17" t="n"/>
      <c r="G1498" s="15" t="n"/>
      <c r="H1498" s="25">
        <f>IF(G1498="","",SUMIF(C$2:C1498,"Masuk",G$2:G1498)-SUMIF(C$2:C1498,"Keluar",G$2:G1498))</f>
        <v/>
      </c>
    </row>
    <row r="1499">
      <c r="A1499" s="26" t="n"/>
      <c r="B1499" s="27" t="n"/>
      <c r="C1499" s="28" t="n"/>
      <c r="D1499" s="29" t="n"/>
      <c r="E1499" s="29" t="n"/>
      <c r="F1499" s="29" t="n"/>
      <c r="G1499" s="30" t="n"/>
      <c r="H1499" s="31">
        <f>IF(G1499="","",SUMIF(C$2:C1499,"Masuk",G$2:G1499)-SUMIF(C$2:C1499,"Keluar",G$2:G1499))</f>
        <v/>
      </c>
    </row>
    <row r="1500">
      <c r="A1500" s="22" t="n"/>
      <c r="B1500" s="23" t="n"/>
      <c r="C1500" s="24" t="n"/>
      <c r="D1500" s="17" t="n"/>
      <c r="E1500" s="17" t="n"/>
      <c r="F1500" s="17" t="n"/>
      <c r="G1500" s="15" t="n"/>
      <c r="H1500" s="25">
        <f>IF(G1500="","",SUMIF(C$2:C1500,"Masuk",G$2:G1500)-SUMIF(C$2:C1500,"Keluar",G$2:G1500))</f>
        <v/>
      </c>
    </row>
    <row r="1501">
      <c r="A1501" s="26" t="n"/>
      <c r="B1501" s="27" t="n"/>
      <c r="C1501" s="28" t="n"/>
      <c r="D1501" s="29" t="n"/>
      <c r="E1501" s="29" t="n"/>
      <c r="F1501" s="29" t="n"/>
      <c r="G1501" s="30" t="n"/>
      <c r="H1501" s="31">
        <f>IF(G1501="","",SUMIF(C$2:C1501,"Masuk",G$2:G1501)-SUMIF(C$2:C1501,"Keluar",G$2:G1501))</f>
        <v/>
      </c>
    </row>
    <row r="1502">
      <c r="A1502" s="22" t="n"/>
      <c r="B1502" s="23" t="n"/>
      <c r="C1502" s="24" t="n"/>
      <c r="D1502" s="17" t="n"/>
      <c r="E1502" s="17" t="n"/>
      <c r="F1502" s="17" t="n"/>
      <c r="G1502" s="15" t="n"/>
      <c r="H1502" s="25">
        <f>IF(G1502="","",SUMIF(C$2:C1502,"Masuk",G$2:G1502)-SUMIF(C$2:C1502,"Keluar",G$2:G1502))</f>
        <v/>
      </c>
    </row>
    <row r="1503">
      <c r="A1503" s="26" t="n"/>
      <c r="B1503" s="27" t="n"/>
      <c r="C1503" s="28" t="n"/>
      <c r="D1503" s="29" t="n"/>
      <c r="E1503" s="29" t="n"/>
      <c r="F1503" s="29" t="n"/>
      <c r="G1503" s="30" t="n"/>
      <c r="H1503" s="31">
        <f>IF(G1503="","",SUMIF(C$2:C1503,"Masuk",G$2:G1503)-SUMIF(C$2:C1503,"Keluar",G$2:G1503))</f>
        <v/>
      </c>
    </row>
    <row r="1504">
      <c r="A1504" s="22" t="n"/>
      <c r="B1504" s="23" t="n"/>
      <c r="C1504" s="24" t="n"/>
      <c r="D1504" s="17" t="n"/>
      <c r="E1504" s="17" t="n"/>
      <c r="F1504" s="17" t="n"/>
      <c r="G1504" s="15" t="n"/>
      <c r="H1504" s="25">
        <f>IF(G1504="","",SUMIF(C$2:C1504,"Masuk",G$2:G1504)-SUMIF(C$2:C1504,"Keluar",G$2:G1504))</f>
        <v/>
      </c>
    </row>
    <row r="1505">
      <c r="A1505" s="26" t="n"/>
      <c r="B1505" s="27" t="n"/>
      <c r="C1505" s="28" t="n"/>
      <c r="D1505" s="29" t="n"/>
      <c r="E1505" s="29" t="n"/>
      <c r="F1505" s="29" t="n"/>
      <c r="G1505" s="30" t="n"/>
      <c r="H1505" s="31">
        <f>IF(G1505="","",SUMIF(C$2:C1505,"Masuk",G$2:G1505)-SUMIF(C$2:C1505,"Keluar",G$2:G1505))</f>
        <v/>
      </c>
    </row>
    <row r="1506">
      <c r="A1506" s="22" t="n"/>
      <c r="B1506" s="23" t="n"/>
      <c r="C1506" s="24" t="n"/>
      <c r="D1506" s="17" t="n"/>
      <c r="E1506" s="17" t="n"/>
      <c r="F1506" s="17" t="n"/>
      <c r="G1506" s="15" t="n"/>
      <c r="H1506" s="25">
        <f>IF(G1506="","",SUMIF(C$2:C1506,"Masuk",G$2:G1506)-SUMIF(C$2:C1506,"Keluar",G$2:G1506))</f>
        <v/>
      </c>
    </row>
    <row r="1507">
      <c r="A1507" s="26" t="n"/>
      <c r="B1507" s="27" t="n"/>
      <c r="C1507" s="28" t="n"/>
      <c r="D1507" s="29" t="n"/>
      <c r="E1507" s="29" t="n"/>
      <c r="F1507" s="29" t="n"/>
      <c r="G1507" s="30" t="n"/>
      <c r="H1507" s="31">
        <f>IF(G1507="","",SUMIF(C$2:C1507,"Masuk",G$2:G1507)-SUMIF(C$2:C1507,"Keluar",G$2:G1507))</f>
        <v/>
      </c>
    </row>
    <row r="1508">
      <c r="A1508" s="22" t="n"/>
      <c r="B1508" s="23" t="n"/>
      <c r="C1508" s="24" t="n"/>
      <c r="D1508" s="17" t="n"/>
      <c r="E1508" s="17" t="n"/>
      <c r="F1508" s="17" t="n"/>
      <c r="G1508" s="15" t="n"/>
      <c r="H1508" s="25">
        <f>IF(G1508="","",SUMIF(C$2:C1508,"Masuk",G$2:G1508)-SUMIF(C$2:C1508,"Keluar",G$2:G1508))</f>
        <v/>
      </c>
    </row>
    <row r="1509">
      <c r="A1509" s="26" t="n"/>
      <c r="B1509" s="27" t="n"/>
      <c r="C1509" s="28" t="n"/>
      <c r="D1509" s="29" t="n"/>
      <c r="E1509" s="29" t="n"/>
      <c r="F1509" s="29" t="n"/>
      <c r="G1509" s="30" t="n"/>
      <c r="H1509" s="31">
        <f>IF(G1509="","",SUMIF(C$2:C1509,"Masuk",G$2:G1509)-SUMIF(C$2:C1509,"Keluar",G$2:G1509))</f>
        <v/>
      </c>
    </row>
    <row r="1510">
      <c r="A1510" s="22" t="n"/>
      <c r="B1510" s="23" t="n"/>
      <c r="C1510" s="24" t="n"/>
      <c r="D1510" s="17" t="n"/>
      <c r="E1510" s="17" t="n"/>
      <c r="F1510" s="17" t="n"/>
      <c r="G1510" s="15" t="n"/>
      <c r="H1510" s="25">
        <f>IF(G1510="","",SUMIF(C$2:C1510,"Masuk",G$2:G1510)-SUMIF(C$2:C1510,"Keluar",G$2:G1510))</f>
        <v/>
      </c>
    </row>
    <row r="1511">
      <c r="A1511" s="26" t="n"/>
      <c r="B1511" s="27" t="n"/>
      <c r="C1511" s="28" t="n"/>
      <c r="D1511" s="29" t="n"/>
      <c r="E1511" s="29" t="n"/>
      <c r="F1511" s="29" t="n"/>
      <c r="G1511" s="30" t="n"/>
      <c r="H1511" s="31">
        <f>IF(G1511="","",SUMIF(C$2:C1511,"Masuk",G$2:G1511)-SUMIF(C$2:C1511,"Keluar",G$2:G1511))</f>
        <v/>
      </c>
    </row>
    <row r="1512">
      <c r="A1512" s="22" t="n"/>
      <c r="B1512" s="23" t="n"/>
      <c r="C1512" s="24" t="n"/>
      <c r="D1512" s="17" t="n"/>
      <c r="E1512" s="17" t="n"/>
      <c r="F1512" s="17" t="n"/>
      <c r="G1512" s="15" t="n"/>
      <c r="H1512" s="25">
        <f>IF(G1512="","",SUMIF(C$2:C1512,"Masuk",G$2:G1512)-SUMIF(C$2:C1512,"Keluar",G$2:G1512))</f>
        <v/>
      </c>
    </row>
    <row r="1513">
      <c r="A1513" s="26" t="n"/>
      <c r="B1513" s="27" t="n"/>
      <c r="C1513" s="28" t="n"/>
      <c r="D1513" s="29" t="n"/>
      <c r="E1513" s="29" t="n"/>
      <c r="F1513" s="29" t="n"/>
      <c r="G1513" s="30" t="n"/>
      <c r="H1513" s="31">
        <f>IF(G1513="","",SUMIF(C$2:C1513,"Masuk",G$2:G1513)-SUMIF(C$2:C1513,"Keluar",G$2:G1513))</f>
        <v/>
      </c>
    </row>
    <row r="1514">
      <c r="A1514" s="22" t="n"/>
      <c r="B1514" s="23" t="n"/>
      <c r="C1514" s="24" t="n"/>
      <c r="D1514" s="17" t="n"/>
      <c r="E1514" s="17" t="n"/>
      <c r="F1514" s="17" t="n"/>
      <c r="G1514" s="15" t="n"/>
      <c r="H1514" s="25">
        <f>IF(G1514="","",SUMIF(C$2:C1514,"Masuk",G$2:G1514)-SUMIF(C$2:C1514,"Keluar",G$2:G1514))</f>
        <v/>
      </c>
    </row>
    <row r="1515">
      <c r="A1515" s="26" t="n"/>
      <c r="B1515" s="27" t="n"/>
      <c r="C1515" s="28" t="n"/>
      <c r="D1515" s="29" t="n"/>
      <c r="E1515" s="29" t="n"/>
      <c r="F1515" s="29" t="n"/>
      <c r="G1515" s="30" t="n"/>
      <c r="H1515" s="31">
        <f>IF(G1515="","",SUMIF(C$2:C1515,"Masuk",G$2:G1515)-SUMIF(C$2:C1515,"Keluar",G$2:G1515))</f>
        <v/>
      </c>
    </row>
    <row r="1516">
      <c r="A1516" s="22" t="n"/>
      <c r="B1516" s="23" t="n"/>
      <c r="C1516" s="24" t="n"/>
      <c r="D1516" s="17" t="n"/>
      <c r="E1516" s="17" t="n"/>
      <c r="F1516" s="17" t="n"/>
      <c r="G1516" s="15" t="n"/>
      <c r="H1516" s="25">
        <f>IF(G1516="","",SUMIF(C$2:C1516,"Masuk",G$2:G1516)-SUMIF(C$2:C1516,"Keluar",G$2:G1516))</f>
        <v/>
      </c>
    </row>
    <row r="1517">
      <c r="A1517" s="26" t="n"/>
      <c r="B1517" s="27" t="n"/>
      <c r="C1517" s="28" t="n"/>
      <c r="D1517" s="29" t="n"/>
      <c r="E1517" s="29" t="n"/>
      <c r="F1517" s="29" t="n"/>
      <c r="G1517" s="30" t="n"/>
      <c r="H1517" s="31">
        <f>IF(G1517="","",SUMIF(C$2:C1517,"Masuk",G$2:G1517)-SUMIF(C$2:C1517,"Keluar",G$2:G1517))</f>
        <v/>
      </c>
    </row>
    <row r="1518">
      <c r="A1518" s="22" t="n"/>
      <c r="B1518" s="23" t="n"/>
      <c r="C1518" s="24" t="n"/>
      <c r="D1518" s="17" t="n"/>
      <c r="E1518" s="17" t="n"/>
      <c r="F1518" s="17" t="n"/>
      <c r="G1518" s="15" t="n"/>
      <c r="H1518" s="25">
        <f>IF(G1518="","",SUMIF(C$2:C1518,"Masuk",G$2:G1518)-SUMIF(C$2:C1518,"Keluar",G$2:G1518))</f>
        <v/>
      </c>
    </row>
    <row r="1519">
      <c r="A1519" s="26" t="n"/>
      <c r="B1519" s="27" t="n"/>
      <c r="C1519" s="28" t="n"/>
      <c r="D1519" s="29" t="n"/>
      <c r="E1519" s="29" t="n"/>
      <c r="F1519" s="29" t="n"/>
      <c r="G1519" s="30" t="n"/>
      <c r="H1519" s="31">
        <f>IF(G1519="","",SUMIF(C$2:C1519,"Masuk",G$2:G1519)-SUMIF(C$2:C1519,"Keluar",G$2:G1519))</f>
        <v/>
      </c>
    </row>
    <row r="1520">
      <c r="A1520" s="22" t="n"/>
      <c r="B1520" s="23" t="n"/>
      <c r="C1520" s="24" t="n"/>
      <c r="D1520" s="17" t="n"/>
      <c r="E1520" s="17" t="n"/>
      <c r="F1520" s="17" t="n"/>
      <c r="G1520" s="15" t="n"/>
      <c r="H1520" s="25">
        <f>IF(G1520="","",SUMIF(C$2:C1520,"Masuk",G$2:G1520)-SUMIF(C$2:C1520,"Keluar",G$2:G1520))</f>
        <v/>
      </c>
    </row>
    <row r="1521">
      <c r="A1521" s="26" t="n"/>
      <c r="B1521" s="27" t="n"/>
      <c r="C1521" s="28" t="n"/>
      <c r="D1521" s="29" t="n"/>
      <c r="E1521" s="29" t="n"/>
      <c r="F1521" s="29" t="n"/>
      <c r="G1521" s="30" t="n"/>
      <c r="H1521" s="31">
        <f>IF(G1521="","",SUMIF(C$2:C1521,"Masuk",G$2:G1521)-SUMIF(C$2:C1521,"Keluar",G$2:G1521))</f>
        <v/>
      </c>
    </row>
    <row r="1522">
      <c r="A1522" s="22" t="n"/>
      <c r="B1522" s="23" t="n"/>
      <c r="C1522" s="24" t="n"/>
      <c r="D1522" s="17" t="n"/>
      <c r="E1522" s="17" t="n"/>
      <c r="F1522" s="17" t="n"/>
      <c r="G1522" s="15" t="n"/>
      <c r="H1522" s="25">
        <f>IF(G1522="","",SUMIF(C$2:C1522,"Masuk",G$2:G1522)-SUMIF(C$2:C1522,"Keluar",G$2:G1522))</f>
        <v/>
      </c>
    </row>
    <row r="1523">
      <c r="A1523" s="26" t="n"/>
      <c r="B1523" s="27" t="n"/>
      <c r="C1523" s="28" t="n"/>
      <c r="D1523" s="29" t="n"/>
      <c r="E1523" s="29" t="n"/>
      <c r="F1523" s="29" t="n"/>
      <c r="G1523" s="30" t="n"/>
      <c r="H1523" s="31">
        <f>IF(G1523="","",SUMIF(C$2:C1523,"Masuk",G$2:G1523)-SUMIF(C$2:C1523,"Keluar",G$2:G1523))</f>
        <v/>
      </c>
    </row>
    <row r="1524">
      <c r="A1524" s="22" t="n"/>
      <c r="B1524" s="23" t="n"/>
      <c r="C1524" s="24" t="n"/>
      <c r="D1524" s="17" t="n"/>
      <c r="E1524" s="17" t="n"/>
      <c r="F1524" s="17" t="n"/>
      <c r="G1524" s="15" t="n"/>
      <c r="H1524" s="25">
        <f>IF(G1524="","",SUMIF(C$2:C1524,"Masuk",G$2:G1524)-SUMIF(C$2:C1524,"Keluar",G$2:G1524))</f>
        <v/>
      </c>
    </row>
    <row r="1525">
      <c r="A1525" s="26" t="n"/>
      <c r="B1525" s="27" t="n"/>
      <c r="C1525" s="28" t="n"/>
      <c r="D1525" s="29" t="n"/>
      <c r="E1525" s="29" t="n"/>
      <c r="F1525" s="29" t="n"/>
      <c r="G1525" s="30" t="n"/>
      <c r="H1525" s="31">
        <f>IF(G1525="","",SUMIF(C$2:C1525,"Masuk",G$2:G1525)-SUMIF(C$2:C1525,"Keluar",G$2:G1525))</f>
        <v/>
      </c>
    </row>
    <row r="1526">
      <c r="A1526" s="22" t="n"/>
      <c r="B1526" s="23" t="n"/>
      <c r="C1526" s="24" t="n"/>
      <c r="D1526" s="17" t="n"/>
      <c r="E1526" s="17" t="n"/>
      <c r="F1526" s="17" t="n"/>
      <c r="G1526" s="15" t="n"/>
      <c r="H1526" s="25">
        <f>IF(G1526="","",SUMIF(C$2:C1526,"Masuk",G$2:G1526)-SUMIF(C$2:C1526,"Keluar",G$2:G1526))</f>
        <v/>
      </c>
    </row>
    <row r="1527">
      <c r="A1527" s="26" t="n"/>
      <c r="B1527" s="27" t="n"/>
      <c r="C1527" s="28" t="n"/>
      <c r="D1527" s="29" t="n"/>
      <c r="E1527" s="29" t="n"/>
      <c r="F1527" s="29" t="n"/>
      <c r="G1527" s="30" t="n"/>
      <c r="H1527" s="31">
        <f>IF(G1527="","",SUMIF(C$2:C1527,"Masuk",G$2:G1527)-SUMIF(C$2:C1527,"Keluar",G$2:G1527))</f>
        <v/>
      </c>
    </row>
    <row r="1528">
      <c r="A1528" s="22" t="n"/>
      <c r="B1528" s="23" t="n"/>
      <c r="C1528" s="24" t="n"/>
      <c r="D1528" s="17" t="n"/>
      <c r="E1528" s="17" t="n"/>
      <c r="F1528" s="17" t="n"/>
      <c r="G1528" s="15" t="n"/>
      <c r="H1528" s="25">
        <f>IF(G1528="","",SUMIF(C$2:C1528,"Masuk",G$2:G1528)-SUMIF(C$2:C1528,"Keluar",G$2:G1528))</f>
        <v/>
      </c>
    </row>
    <row r="1529">
      <c r="A1529" s="26" t="n"/>
      <c r="B1529" s="27" t="n"/>
      <c r="C1529" s="28" t="n"/>
      <c r="D1529" s="29" t="n"/>
      <c r="E1529" s="29" t="n"/>
      <c r="F1529" s="29" t="n"/>
      <c r="G1529" s="30" t="n"/>
      <c r="H1529" s="31">
        <f>IF(G1529="","",SUMIF(C$2:C1529,"Masuk",G$2:G1529)-SUMIF(C$2:C1529,"Keluar",G$2:G1529))</f>
        <v/>
      </c>
    </row>
    <row r="1530">
      <c r="A1530" s="22" t="n"/>
      <c r="B1530" s="23" t="n"/>
      <c r="C1530" s="24" t="n"/>
      <c r="D1530" s="17" t="n"/>
      <c r="E1530" s="17" t="n"/>
      <c r="F1530" s="17" t="n"/>
      <c r="G1530" s="15" t="n"/>
      <c r="H1530" s="25">
        <f>IF(G1530="","",SUMIF(C$2:C1530,"Masuk",G$2:G1530)-SUMIF(C$2:C1530,"Keluar",G$2:G1530))</f>
        <v/>
      </c>
    </row>
    <row r="1531">
      <c r="A1531" s="26" t="n"/>
      <c r="B1531" s="27" t="n"/>
      <c r="C1531" s="28" t="n"/>
      <c r="D1531" s="29" t="n"/>
      <c r="E1531" s="29" t="n"/>
      <c r="F1531" s="29" t="n"/>
      <c r="G1531" s="30" t="n"/>
      <c r="H1531" s="31">
        <f>IF(G1531="","",SUMIF(C$2:C1531,"Masuk",G$2:G1531)-SUMIF(C$2:C1531,"Keluar",G$2:G1531))</f>
        <v/>
      </c>
    </row>
    <row r="1532">
      <c r="A1532" s="22" t="n"/>
      <c r="B1532" s="23" t="n"/>
      <c r="C1532" s="24" t="n"/>
      <c r="D1532" s="17" t="n"/>
      <c r="E1532" s="17" t="n"/>
      <c r="F1532" s="17" t="n"/>
      <c r="G1532" s="15" t="n"/>
      <c r="H1532" s="25">
        <f>IF(G1532="","",SUMIF(C$2:C1532,"Masuk",G$2:G1532)-SUMIF(C$2:C1532,"Keluar",G$2:G1532))</f>
        <v/>
      </c>
    </row>
    <row r="1533">
      <c r="A1533" s="26" t="n"/>
      <c r="B1533" s="27" t="n"/>
      <c r="C1533" s="28" t="n"/>
      <c r="D1533" s="29" t="n"/>
      <c r="E1533" s="29" t="n"/>
      <c r="F1533" s="29" t="n"/>
      <c r="G1533" s="30" t="n"/>
      <c r="H1533" s="31">
        <f>IF(G1533="","",SUMIF(C$2:C1533,"Masuk",G$2:G1533)-SUMIF(C$2:C1533,"Keluar",G$2:G1533))</f>
        <v/>
      </c>
    </row>
    <row r="1534">
      <c r="A1534" s="22" t="n"/>
      <c r="B1534" s="23" t="n"/>
      <c r="C1534" s="24" t="n"/>
      <c r="D1534" s="17" t="n"/>
      <c r="E1534" s="17" t="n"/>
      <c r="F1534" s="17" t="n"/>
      <c r="G1534" s="15" t="n"/>
      <c r="H1534" s="25">
        <f>IF(G1534="","",SUMIF(C$2:C1534,"Masuk",G$2:G1534)-SUMIF(C$2:C1534,"Keluar",G$2:G1534))</f>
        <v/>
      </c>
    </row>
    <row r="1535">
      <c r="A1535" s="26" t="n"/>
      <c r="B1535" s="27" t="n"/>
      <c r="C1535" s="28" t="n"/>
      <c r="D1535" s="29" t="n"/>
      <c r="E1535" s="29" t="n"/>
      <c r="F1535" s="29" t="n"/>
      <c r="G1535" s="30" t="n"/>
      <c r="H1535" s="31">
        <f>IF(G1535="","",SUMIF(C$2:C1535,"Masuk",G$2:G1535)-SUMIF(C$2:C1535,"Keluar",G$2:G1535))</f>
        <v/>
      </c>
    </row>
    <row r="1536">
      <c r="A1536" s="22" t="n"/>
      <c r="B1536" s="23" t="n"/>
      <c r="C1536" s="24" t="n"/>
      <c r="D1536" s="17" t="n"/>
      <c r="E1536" s="17" t="n"/>
      <c r="F1536" s="17" t="n"/>
      <c r="G1536" s="15" t="n"/>
      <c r="H1536" s="25">
        <f>IF(G1536="","",SUMIF(C$2:C1536,"Masuk",G$2:G1536)-SUMIF(C$2:C1536,"Keluar",G$2:G1536))</f>
        <v/>
      </c>
    </row>
    <row r="1537">
      <c r="A1537" s="26" t="n"/>
      <c r="B1537" s="27" t="n"/>
      <c r="C1537" s="28" t="n"/>
      <c r="D1537" s="29" t="n"/>
      <c r="E1537" s="29" t="n"/>
      <c r="F1537" s="29" t="n"/>
      <c r="G1537" s="30" t="n"/>
      <c r="H1537" s="31">
        <f>IF(G1537="","",SUMIF(C$2:C1537,"Masuk",G$2:G1537)-SUMIF(C$2:C1537,"Keluar",G$2:G1537))</f>
        <v/>
      </c>
    </row>
    <row r="1538">
      <c r="A1538" s="22" t="n"/>
      <c r="B1538" s="23" t="n"/>
      <c r="C1538" s="24" t="n"/>
      <c r="D1538" s="17" t="n"/>
      <c r="E1538" s="17" t="n"/>
      <c r="F1538" s="17" t="n"/>
      <c r="G1538" s="15" t="n"/>
      <c r="H1538" s="25">
        <f>IF(G1538="","",SUMIF(C$2:C1538,"Masuk",G$2:G1538)-SUMIF(C$2:C1538,"Keluar",G$2:G1538))</f>
        <v/>
      </c>
    </row>
    <row r="1539">
      <c r="A1539" s="26" t="n"/>
      <c r="B1539" s="27" t="n"/>
      <c r="C1539" s="28" t="n"/>
      <c r="D1539" s="29" t="n"/>
      <c r="E1539" s="29" t="n"/>
      <c r="F1539" s="29" t="n"/>
      <c r="G1539" s="30" t="n"/>
      <c r="H1539" s="31">
        <f>IF(G1539="","",SUMIF(C$2:C1539,"Masuk",G$2:G1539)-SUMIF(C$2:C1539,"Keluar",G$2:G1539))</f>
        <v/>
      </c>
    </row>
    <row r="1540">
      <c r="A1540" s="22" t="n"/>
      <c r="B1540" s="23" t="n"/>
      <c r="C1540" s="24" t="n"/>
      <c r="D1540" s="17" t="n"/>
      <c r="E1540" s="17" t="n"/>
      <c r="F1540" s="17" t="n"/>
      <c r="G1540" s="15" t="n"/>
      <c r="H1540" s="25">
        <f>IF(G1540="","",SUMIF(C$2:C1540,"Masuk",G$2:G1540)-SUMIF(C$2:C1540,"Keluar",G$2:G1540))</f>
        <v/>
      </c>
    </row>
    <row r="1541">
      <c r="A1541" s="26" t="n"/>
      <c r="B1541" s="27" t="n"/>
      <c r="C1541" s="28" t="n"/>
      <c r="D1541" s="29" t="n"/>
      <c r="E1541" s="29" t="n"/>
      <c r="F1541" s="29" t="n"/>
      <c r="G1541" s="30" t="n"/>
      <c r="H1541" s="31">
        <f>IF(G1541="","",SUMIF(C$2:C1541,"Masuk",G$2:G1541)-SUMIF(C$2:C1541,"Keluar",G$2:G1541))</f>
        <v/>
      </c>
    </row>
    <row r="1542">
      <c r="A1542" s="22" t="n"/>
      <c r="B1542" s="23" t="n"/>
      <c r="C1542" s="24" t="n"/>
      <c r="D1542" s="17" t="n"/>
      <c r="E1542" s="17" t="n"/>
      <c r="F1542" s="17" t="n"/>
      <c r="G1542" s="15" t="n"/>
      <c r="H1542" s="25">
        <f>IF(G1542="","",SUMIF(C$2:C1542,"Masuk",G$2:G1542)-SUMIF(C$2:C1542,"Keluar",G$2:G1542))</f>
        <v/>
      </c>
    </row>
    <row r="1543">
      <c r="A1543" s="26" t="n"/>
      <c r="B1543" s="27" t="n"/>
      <c r="C1543" s="28" t="n"/>
      <c r="D1543" s="29" t="n"/>
      <c r="E1543" s="29" t="n"/>
      <c r="F1543" s="29" t="n"/>
      <c r="G1543" s="30" t="n"/>
      <c r="H1543" s="31">
        <f>IF(G1543="","",SUMIF(C$2:C1543,"Masuk",G$2:G1543)-SUMIF(C$2:C1543,"Keluar",G$2:G1543))</f>
        <v/>
      </c>
    </row>
    <row r="1544">
      <c r="A1544" s="22" t="n"/>
      <c r="B1544" s="23" t="n"/>
      <c r="C1544" s="24" t="n"/>
      <c r="D1544" s="17" t="n"/>
      <c r="E1544" s="17" t="n"/>
      <c r="F1544" s="17" t="n"/>
      <c r="G1544" s="15" t="n"/>
      <c r="H1544" s="25">
        <f>IF(G1544="","",SUMIF(C$2:C1544,"Masuk",G$2:G1544)-SUMIF(C$2:C1544,"Keluar",G$2:G1544))</f>
        <v/>
      </c>
    </row>
    <row r="1545">
      <c r="A1545" s="26" t="n"/>
      <c r="B1545" s="27" t="n"/>
      <c r="C1545" s="28" t="n"/>
      <c r="D1545" s="29" t="n"/>
      <c r="E1545" s="29" t="n"/>
      <c r="F1545" s="29" t="n"/>
      <c r="G1545" s="30" t="n"/>
      <c r="H1545" s="31">
        <f>IF(G1545="","",SUMIF(C$2:C1545,"Masuk",G$2:G1545)-SUMIF(C$2:C1545,"Keluar",G$2:G1545))</f>
        <v/>
      </c>
    </row>
    <row r="1546">
      <c r="A1546" s="22" t="n"/>
      <c r="B1546" s="23" t="n"/>
      <c r="C1546" s="24" t="n"/>
      <c r="D1546" s="17" t="n"/>
      <c r="E1546" s="17" t="n"/>
      <c r="F1546" s="17" t="n"/>
      <c r="G1546" s="15" t="n"/>
      <c r="H1546" s="25">
        <f>IF(G1546="","",SUMIF(C$2:C1546,"Masuk",G$2:G1546)-SUMIF(C$2:C1546,"Keluar",G$2:G1546))</f>
        <v/>
      </c>
    </row>
    <row r="1547">
      <c r="A1547" s="26" t="n"/>
      <c r="B1547" s="27" t="n"/>
      <c r="C1547" s="28" t="n"/>
      <c r="D1547" s="29" t="n"/>
      <c r="E1547" s="29" t="n"/>
      <c r="F1547" s="29" t="n"/>
      <c r="G1547" s="30" t="n"/>
      <c r="H1547" s="31">
        <f>IF(G1547="","",SUMIF(C$2:C1547,"Masuk",G$2:G1547)-SUMIF(C$2:C1547,"Keluar",G$2:G1547))</f>
        <v/>
      </c>
    </row>
    <row r="1548">
      <c r="A1548" s="22" t="n"/>
      <c r="B1548" s="23" t="n"/>
      <c r="C1548" s="24" t="n"/>
      <c r="D1548" s="17" t="n"/>
      <c r="E1548" s="17" t="n"/>
      <c r="F1548" s="17" t="n"/>
      <c r="G1548" s="15" t="n"/>
      <c r="H1548" s="25">
        <f>IF(G1548="","",SUMIF(C$2:C1548,"Masuk",G$2:G1548)-SUMIF(C$2:C1548,"Keluar",G$2:G1548))</f>
        <v/>
      </c>
    </row>
    <row r="1549">
      <c r="A1549" s="26" t="n"/>
      <c r="B1549" s="27" t="n"/>
      <c r="C1549" s="28" t="n"/>
      <c r="D1549" s="29" t="n"/>
      <c r="E1549" s="29" t="n"/>
      <c r="F1549" s="29" t="n"/>
      <c r="G1549" s="30" t="n"/>
      <c r="H1549" s="31">
        <f>IF(G1549="","",SUMIF(C$2:C1549,"Masuk",G$2:G1549)-SUMIF(C$2:C1549,"Keluar",G$2:G1549))</f>
        <v/>
      </c>
    </row>
    <row r="1550">
      <c r="A1550" s="22" t="n"/>
      <c r="B1550" s="23" t="n"/>
      <c r="C1550" s="24" t="n"/>
      <c r="D1550" s="17" t="n"/>
      <c r="E1550" s="17" t="n"/>
      <c r="F1550" s="17" t="n"/>
      <c r="G1550" s="15" t="n"/>
      <c r="H1550" s="25">
        <f>IF(G1550="","",SUMIF(C$2:C1550,"Masuk",G$2:G1550)-SUMIF(C$2:C1550,"Keluar",G$2:G1550))</f>
        <v/>
      </c>
    </row>
    <row r="1551">
      <c r="A1551" s="26" t="n"/>
      <c r="B1551" s="27" t="n"/>
      <c r="C1551" s="28" t="n"/>
      <c r="D1551" s="29" t="n"/>
      <c r="E1551" s="29" t="n"/>
      <c r="F1551" s="29" t="n"/>
      <c r="G1551" s="30" t="n"/>
      <c r="H1551" s="31">
        <f>IF(G1551="","",SUMIF(C$2:C1551,"Masuk",G$2:G1551)-SUMIF(C$2:C1551,"Keluar",G$2:G1551))</f>
        <v/>
      </c>
    </row>
    <row r="1552">
      <c r="A1552" s="22" t="n"/>
      <c r="B1552" s="23" t="n"/>
      <c r="C1552" s="24" t="n"/>
      <c r="D1552" s="17" t="n"/>
      <c r="E1552" s="17" t="n"/>
      <c r="F1552" s="17" t="n"/>
      <c r="G1552" s="15" t="n"/>
      <c r="H1552" s="25">
        <f>IF(G1552="","",SUMIF(C$2:C1552,"Masuk",G$2:G1552)-SUMIF(C$2:C1552,"Keluar",G$2:G1552))</f>
        <v/>
      </c>
    </row>
    <row r="1553">
      <c r="A1553" s="26" t="n"/>
      <c r="B1553" s="27" t="n"/>
      <c r="C1553" s="28" t="n"/>
      <c r="D1553" s="29" t="n"/>
      <c r="E1553" s="29" t="n"/>
      <c r="F1553" s="29" t="n"/>
      <c r="G1553" s="30" t="n"/>
      <c r="H1553" s="31">
        <f>IF(G1553="","",SUMIF(C$2:C1553,"Masuk",G$2:G1553)-SUMIF(C$2:C1553,"Keluar",G$2:G1553))</f>
        <v/>
      </c>
    </row>
    <row r="1554">
      <c r="A1554" s="22" t="n"/>
      <c r="B1554" s="23" t="n"/>
      <c r="C1554" s="24" t="n"/>
      <c r="D1554" s="17" t="n"/>
      <c r="E1554" s="17" t="n"/>
      <c r="F1554" s="17" t="n"/>
      <c r="G1554" s="15" t="n"/>
      <c r="H1554" s="25">
        <f>IF(G1554="","",SUMIF(C$2:C1554,"Masuk",G$2:G1554)-SUMIF(C$2:C1554,"Keluar",G$2:G1554))</f>
        <v/>
      </c>
    </row>
    <row r="1555">
      <c r="A1555" s="26" t="n"/>
      <c r="B1555" s="27" t="n"/>
      <c r="C1555" s="28" t="n"/>
      <c r="D1555" s="29" t="n"/>
      <c r="E1555" s="29" t="n"/>
      <c r="F1555" s="29" t="n"/>
      <c r="G1555" s="30" t="n"/>
      <c r="H1555" s="31">
        <f>IF(G1555="","",SUMIF(C$2:C1555,"Masuk",G$2:G1555)-SUMIF(C$2:C1555,"Keluar",G$2:G1555))</f>
        <v/>
      </c>
    </row>
    <row r="1556">
      <c r="A1556" s="22" t="n"/>
      <c r="B1556" s="23" t="n"/>
      <c r="C1556" s="24" t="n"/>
      <c r="D1556" s="17" t="n"/>
      <c r="E1556" s="17" t="n"/>
      <c r="F1556" s="17" t="n"/>
      <c r="G1556" s="15" t="n"/>
      <c r="H1556" s="25">
        <f>IF(G1556="","",SUMIF(C$2:C1556,"Masuk",G$2:G1556)-SUMIF(C$2:C1556,"Keluar",G$2:G1556))</f>
        <v/>
      </c>
    </row>
    <row r="1557">
      <c r="A1557" s="26" t="n"/>
      <c r="B1557" s="27" t="n"/>
      <c r="C1557" s="28" t="n"/>
      <c r="D1557" s="29" t="n"/>
      <c r="E1557" s="29" t="n"/>
      <c r="F1557" s="29" t="n"/>
      <c r="G1557" s="30" t="n"/>
      <c r="H1557" s="31">
        <f>IF(G1557="","",SUMIF(C$2:C1557,"Masuk",G$2:G1557)-SUMIF(C$2:C1557,"Keluar",G$2:G1557))</f>
        <v/>
      </c>
    </row>
    <row r="1558">
      <c r="A1558" s="22" t="n"/>
      <c r="B1558" s="23" t="n"/>
      <c r="C1558" s="24" t="n"/>
      <c r="D1558" s="17" t="n"/>
      <c r="E1558" s="17" t="n"/>
      <c r="F1558" s="17" t="n"/>
      <c r="G1558" s="15" t="n"/>
      <c r="H1558" s="25">
        <f>IF(G1558="","",SUMIF(C$2:C1558,"Masuk",G$2:G1558)-SUMIF(C$2:C1558,"Keluar",G$2:G1558))</f>
        <v/>
      </c>
    </row>
    <row r="1559">
      <c r="A1559" s="26" t="n"/>
      <c r="B1559" s="27" t="n"/>
      <c r="C1559" s="28" t="n"/>
      <c r="D1559" s="29" t="n"/>
      <c r="E1559" s="29" t="n"/>
      <c r="F1559" s="29" t="n"/>
      <c r="G1559" s="30" t="n"/>
      <c r="H1559" s="31">
        <f>IF(G1559="","",SUMIF(C$2:C1559,"Masuk",G$2:G1559)-SUMIF(C$2:C1559,"Keluar",G$2:G1559))</f>
        <v/>
      </c>
    </row>
    <row r="1560">
      <c r="A1560" s="22" t="n"/>
      <c r="B1560" s="23" t="n"/>
      <c r="C1560" s="24" t="n"/>
      <c r="D1560" s="17" t="n"/>
      <c r="E1560" s="17" t="n"/>
      <c r="F1560" s="17" t="n"/>
      <c r="G1560" s="15" t="n"/>
      <c r="H1560" s="25">
        <f>IF(G1560="","",SUMIF(C$2:C1560,"Masuk",G$2:G1560)-SUMIF(C$2:C1560,"Keluar",G$2:G1560))</f>
        <v/>
      </c>
    </row>
    <row r="1561">
      <c r="A1561" s="26" t="n"/>
      <c r="B1561" s="27" t="n"/>
      <c r="C1561" s="28" t="n"/>
      <c r="D1561" s="29" t="n"/>
      <c r="E1561" s="29" t="n"/>
      <c r="F1561" s="29" t="n"/>
      <c r="G1561" s="30" t="n"/>
      <c r="H1561" s="31">
        <f>IF(G1561="","",SUMIF(C$2:C1561,"Masuk",G$2:G1561)-SUMIF(C$2:C1561,"Keluar",G$2:G1561))</f>
        <v/>
      </c>
    </row>
    <row r="1562">
      <c r="A1562" s="22" t="n"/>
      <c r="B1562" s="23" t="n"/>
      <c r="C1562" s="24" t="n"/>
      <c r="D1562" s="17" t="n"/>
      <c r="E1562" s="17" t="n"/>
      <c r="F1562" s="17" t="n"/>
      <c r="G1562" s="15" t="n"/>
      <c r="H1562" s="25">
        <f>IF(G1562="","",SUMIF(C$2:C1562,"Masuk",G$2:G1562)-SUMIF(C$2:C1562,"Keluar",G$2:G1562))</f>
        <v/>
      </c>
    </row>
    <row r="1563">
      <c r="A1563" s="26" t="n"/>
      <c r="B1563" s="27" t="n"/>
      <c r="C1563" s="28" t="n"/>
      <c r="D1563" s="29" t="n"/>
      <c r="E1563" s="29" t="n"/>
      <c r="F1563" s="29" t="n"/>
      <c r="G1563" s="30" t="n"/>
      <c r="H1563" s="31">
        <f>IF(G1563="","",SUMIF(C$2:C1563,"Masuk",G$2:G1563)-SUMIF(C$2:C1563,"Keluar",G$2:G1563))</f>
        <v/>
      </c>
    </row>
    <row r="1564">
      <c r="A1564" s="22" t="n"/>
      <c r="B1564" s="23" t="n"/>
      <c r="C1564" s="24" t="n"/>
      <c r="D1564" s="17" t="n"/>
      <c r="E1564" s="17" t="n"/>
      <c r="F1564" s="17" t="n"/>
      <c r="G1564" s="15" t="n"/>
      <c r="H1564" s="25">
        <f>IF(G1564="","",SUMIF(C$2:C1564,"Masuk",G$2:G1564)-SUMIF(C$2:C1564,"Keluar",G$2:G1564))</f>
        <v/>
      </c>
    </row>
    <row r="1565">
      <c r="A1565" s="26" t="n"/>
      <c r="B1565" s="27" t="n"/>
      <c r="C1565" s="28" t="n"/>
      <c r="D1565" s="29" t="n"/>
      <c r="E1565" s="29" t="n"/>
      <c r="F1565" s="29" t="n"/>
      <c r="G1565" s="30" t="n"/>
      <c r="H1565" s="31">
        <f>IF(G1565="","",SUMIF(C$2:C1565,"Masuk",G$2:G1565)-SUMIF(C$2:C1565,"Keluar",G$2:G1565))</f>
        <v/>
      </c>
    </row>
    <row r="1566">
      <c r="A1566" s="22" t="n"/>
      <c r="B1566" s="23" t="n"/>
      <c r="C1566" s="24" t="n"/>
      <c r="D1566" s="17" t="n"/>
      <c r="E1566" s="17" t="n"/>
      <c r="F1566" s="17" t="n"/>
      <c r="G1566" s="15" t="n"/>
      <c r="H1566" s="25">
        <f>IF(G1566="","",SUMIF(C$2:C1566,"Masuk",G$2:G1566)-SUMIF(C$2:C1566,"Keluar",G$2:G1566))</f>
        <v/>
      </c>
    </row>
    <row r="1567">
      <c r="A1567" s="26" t="n"/>
      <c r="B1567" s="27" t="n"/>
      <c r="C1567" s="28" t="n"/>
      <c r="D1567" s="29" t="n"/>
      <c r="E1567" s="29" t="n"/>
      <c r="F1567" s="29" t="n"/>
      <c r="G1567" s="30" t="n"/>
      <c r="H1567" s="31">
        <f>IF(G1567="","",SUMIF(C$2:C1567,"Masuk",G$2:G1567)-SUMIF(C$2:C1567,"Keluar",G$2:G1567))</f>
        <v/>
      </c>
    </row>
    <row r="1568">
      <c r="A1568" s="22" t="n"/>
      <c r="B1568" s="23" t="n"/>
      <c r="C1568" s="24" t="n"/>
      <c r="D1568" s="17" t="n"/>
      <c r="E1568" s="17" t="n"/>
      <c r="F1568" s="17" t="n"/>
      <c r="G1568" s="15" t="n"/>
      <c r="H1568" s="25">
        <f>IF(G1568="","",SUMIF(C$2:C1568,"Masuk",G$2:G1568)-SUMIF(C$2:C1568,"Keluar",G$2:G1568))</f>
        <v/>
      </c>
    </row>
    <row r="1569">
      <c r="A1569" s="26" t="n"/>
      <c r="B1569" s="27" t="n"/>
      <c r="C1569" s="28" t="n"/>
      <c r="D1569" s="29" t="n"/>
      <c r="E1569" s="29" t="n"/>
      <c r="F1569" s="29" t="n"/>
      <c r="G1569" s="30" t="n"/>
      <c r="H1569" s="31">
        <f>IF(G1569="","",SUMIF(C$2:C1569,"Masuk",G$2:G1569)-SUMIF(C$2:C1569,"Keluar",G$2:G1569))</f>
        <v/>
      </c>
    </row>
    <row r="1570">
      <c r="A1570" s="22" t="n"/>
      <c r="B1570" s="23" t="n"/>
      <c r="C1570" s="24" t="n"/>
      <c r="D1570" s="17" t="n"/>
      <c r="E1570" s="17" t="n"/>
      <c r="F1570" s="17" t="n"/>
      <c r="G1570" s="15" t="n"/>
      <c r="H1570" s="25">
        <f>IF(G1570="","",SUMIF(C$2:C1570,"Masuk",G$2:G1570)-SUMIF(C$2:C1570,"Keluar",G$2:G1570))</f>
        <v/>
      </c>
    </row>
    <row r="1571">
      <c r="A1571" s="26" t="n"/>
      <c r="B1571" s="27" t="n"/>
      <c r="C1571" s="28" t="n"/>
      <c r="D1571" s="29" t="n"/>
      <c r="E1571" s="29" t="n"/>
      <c r="F1571" s="29" t="n"/>
      <c r="G1571" s="30" t="n"/>
      <c r="H1571" s="31">
        <f>IF(G1571="","",SUMIF(C$2:C1571,"Masuk",G$2:G1571)-SUMIF(C$2:C1571,"Keluar",G$2:G1571))</f>
        <v/>
      </c>
    </row>
    <row r="1572">
      <c r="A1572" s="22" t="n"/>
      <c r="B1572" s="23" t="n"/>
      <c r="C1572" s="24" t="n"/>
      <c r="D1572" s="17" t="n"/>
      <c r="E1572" s="17" t="n"/>
      <c r="F1572" s="17" t="n"/>
      <c r="G1572" s="15" t="n"/>
      <c r="H1572" s="25">
        <f>IF(G1572="","",SUMIF(C$2:C1572,"Masuk",G$2:G1572)-SUMIF(C$2:C1572,"Keluar",G$2:G1572))</f>
        <v/>
      </c>
    </row>
    <row r="1573">
      <c r="A1573" s="26" t="n"/>
      <c r="B1573" s="27" t="n"/>
      <c r="C1573" s="28" t="n"/>
      <c r="D1573" s="29" t="n"/>
      <c r="E1573" s="29" t="n"/>
      <c r="F1573" s="29" t="n"/>
      <c r="G1573" s="30" t="n"/>
      <c r="H1573" s="31">
        <f>IF(G1573="","",SUMIF(C$2:C1573,"Masuk",G$2:G1573)-SUMIF(C$2:C1573,"Keluar",G$2:G1573))</f>
        <v/>
      </c>
    </row>
    <row r="1574">
      <c r="A1574" s="22" t="n"/>
      <c r="B1574" s="23" t="n"/>
      <c r="C1574" s="24" t="n"/>
      <c r="D1574" s="17" t="n"/>
      <c r="E1574" s="17" t="n"/>
      <c r="F1574" s="17" t="n"/>
      <c r="G1574" s="15" t="n"/>
      <c r="H1574" s="25">
        <f>IF(G1574="","",SUMIF(C$2:C1574,"Masuk",G$2:G1574)-SUMIF(C$2:C1574,"Keluar",G$2:G1574))</f>
        <v/>
      </c>
    </row>
    <row r="1575">
      <c r="A1575" s="26" t="n"/>
      <c r="B1575" s="27" t="n"/>
      <c r="C1575" s="28" t="n"/>
      <c r="D1575" s="29" t="n"/>
      <c r="E1575" s="29" t="n"/>
      <c r="F1575" s="29" t="n"/>
      <c r="G1575" s="30" t="n"/>
      <c r="H1575" s="31">
        <f>IF(G1575="","",SUMIF(C$2:C1575,"Masuk",G$2:G1575)-SUMIF(C$2:C1575,"Keluar",G$2:G1575))</f>
        <v/>
      </c>
    </row>
    <row r="1576">
      <c r="A1576" s="22" t="n"/>
      <c r="B1576" s="23" t="n"/>
      <c r="C1576" s="24" t="n"/>
      <c r="D1576" s="17" t="n"/>
      <c r="E1576" s="17" t="n"/>
      <c r="F1576" s="17" t="n"/>
      <c r="G1576" s="15" t="n"/>
      <c r="H1576" s="25">
        <f>IF(G1576="","",SUMIF(C$2:C1576,"Masuk",G$2:G1576)-SUMIF(C$2:C1576,"Keluar",G$2:G1576))</f>
        <v/>
      </c>
    </row>
    <row r="1577">
      <c r="A1577" s="26" t="n"/>
      <c r="B1577" s="27" t="n"/>
      <c r="C1577" s="28" t="n"/>
      <c r="D1577" s="29" t="n"/>
      <c r="E1577" s="29" t="n"/>
      <c r="F1577" s="29" t="n"/>
      <c r="G1577" s="30" t="n"/>
      <c r="H1577" s="31">
        <f>IF(G1577="","",SUMIF(C$2:C1577,"Masuk",G$2:G1577)-SUMIF(C$2:C1577,"Keluar",G$2:G1577))</f>
        <v/>
      </c>
    </row>
    <row r="1578">
      <c r="A1578" s="22" t="n"/>
      <c r="B1578" s="23" t="n"/>
      <c r="C1578" s="24" t="n"/>
      <c r="D1578" s="17" t="n"/>
      <c r="E1578" s="17" t="n"/>
      <c r="F1578" s="17" t="n"/>
      <c r="G1578" s="15" t="n"/>
      <c r="H1578" s="25">
        <f>IF(G1578="","",SUMIF(C$2:C1578,"Masuk",G$2:G1578)-SUMIF(C$2:C1578,"Keluar",G$2:G1578))</f>
        <v/>
      </c>
    </row>
    <row r="1579">
      <c r="A1579" s="26" t="n"/>
      <c r="B1579" s="27" t="n"/>
      <c r="C1579" s="28" t="n"/>
      <c r="D1579" s="29" t="n"/>
      <c r="E1579" s="29" t="n"/>
      <c r="F1579" s="29" t="n"/>
      <c r="G1579" s="30" t="n"/>
      <c r="H1579" s="31">
        <f>IF(G1579="","",SUMIF(C$2:C1579,"Masuk",G$2:G1579)-SUMIF(C$2:C1579,"Keluar",G$2:G1579))</f>
        <v/>
      </c>
    </row>
    <row r="1580">
      <c r="A1580" s="22" t="n"/>
      <c r="B1580" s="23" t="n"/>
      <c r="C1580" s="24" t="n"/>
      <c r="D1580" s="17" t="n"/>
      <c r="E1580" s="17" t="n"/>
      <c r="F1580" s="17" t="n"/>
      <c r="G1580" s="15" t="n"/>
      <c r="H1580" s="25">
        <f>IF(G1580="","",SUMIF(C$2:C1580,"Masuk",G$2:G1580)-SUMIF(C$2:C1580,"Keluar",G$2:G1580))</f>
        <v/>
      </c>
    </row>
    <row r="1581">
      <c r="A1581" s="26" t="n"/>
      <c r="B1581" s="27" t="n"/>
      <c r="C1581" s="28" t="n"/>
      <c r="D1581" s="29" t="n"/>
      <c r="E1581" s="29" t="n"/>
      <c r="F1581" s="29" t="n"/>
      <c r="G1581" s="30" t="n"/>
      <c r="H1581" s="31">
        <f>IF(G1581="","",SUMIF(C$2:C1581,"Masuk",G$2:G1581)-SUMIF(C$2:C1581,"Keluar",G$2:G1581))</f>
        <v/>
      </c>
    </row>
    <row r="1582">
      <c r="A1582" s="22" t="n"/>
      <c r="B1582" s="23" t="n"/>
      <c r="C1582" s="24" t="n"/>
      <c r="D1582" s="17" t="n"/>
      <c r="E1582" s="17" t="n"/>
      <c r="F1582" s="17" t="n"/>
      <c r="G1582" s="15" t="n"/>
      <c r="H1582" s="25">
        <f>IF(G1582="","",SUMIF(C$2:C1582,"Masuk",G$2:G1582)-SUMIF(C$2:C1582,"Keluar",G$2:G1582))</f>
        <v/>
      </c>
    </row>
    <row r="1583">
      <c r="A1583" s="26" t="n"/>
      <c r="B1583" s="27" t="n"/>
      <c r="C1583" s="28" t="n"/>
      <c r="D1583" s="29" t="n"/>
      <c r="E1583" s="29" t="n"/>
      <c r="F1583" s="29" t="n"/>
      <c r="G1583" s="30" t="n"/>
      <c r="H1583" s="31">
        <f>IF(G1583="","",SUMIF(C$2:C1583,"Masuk",G$2:G1583)-SUMIF(C$2:C1583,"Keluar",G$2:G1583))</f>
        <v/>
      </c>
    </row>
    <row r="1584">
      <c r="A1584" s="22" t="n"/>
      <c r="B1584" s="23" t="n"/>
      <c r="C1584" s="24" t="n"/>
      <c r="D1584" s="17" t="n"/>
      <c r="E1584" s="17" t="n"/>
      <c r="F1584" s="17" t="n"/>
      <c r="G1584" s="15" t="n"/>
      <c r="H1584" s="25">
        <f>IF(G1584="","",SUMIF(C$2:C1584,"Masuk",G$2:G1584)-SUMIF(C$2:C1584,"Keluar",G$2:G1584))</f>
        <v/>
      </c>
    </row>
    <row r="1585">
      <c r="A1585" s="26" t="n"/>
      <c r="B1585" s="27" t="n"/>
      <c r="C1585" s="28" t="n"/>
      <c r="D1585" s="29" t="n"/>
      <c r="E1585" s="29" t="n"/>
      <c r="F1585" s="29" t="n"/>
      <c r="G1585" s="30" t="n"/>
      <c r="H1585" s="31">
        <f>IF(G1585="","",SUMIF(C$2:C1585,"Masuk",G$2:G1585)-SUMIF(C$2:C1585,"Keluar",G$2:G1585))</f>
        <v/>
      </c>
    </row>
    <row r="1586">
      <c r="A1586" s="22" t="n"/>
      <c r="B1586" s="23" t="n"/>
      <c r="C1586" s="24" t="n"/>
      <c r="D1586" s="17" t="n"/>
      <c r="E1586" s="17" t="n"/>
      <c r="F1586" s="17" t="n"/>
      <c r="G1586" s="15" t="n"/>
      <c r="H1586" s="25">
        <f>IF(G1586="","",SUMIF(C$2:C1586,"Masuk",G$2:G1586)-SUMIF(C$2:C1586,"Keluar",G$2:G1586))</f>
        <v/>
      </c>
    </row>
    <row r="1587">
      <c r="A1587" s="26" t="n"/>
      <c r="B1587" s="27" t="n"/>
      <c r="C1587" s="28" t="n"/>
      <c r="D1587" s="29" t="n"/>
      <c r="E1587" s="29" t="n"/>
      <c r="F1587" s="29" t="n"/>
      <c r="G1587" s="30" t="n"/>
      <c r="H1587" s="31">
        <f>IF(G1587="","",SUMIF(C$2:C1587,"Masuk",G$2:G1587)-SUMIF(C$2:C1587,"Keluar",G$2:G1587))</f>
        <v/>
      </c>
    </row>
    <row r="1588">
      <c r="A1588" s="22" t="n"/>
      <c r="B1588" s="23" t="n"/>
      <c r="C1588" s="24" t="n"/>
      <c r="D1588" s="17" t="n"/>
      <c r="E1588" s="17" t="n"/>
      <c r="F1588" s="17" t="n"/>
      <c r="G1588" s="15" t="n"/>
      <c r="H1588" s="25">
        <f>IF(G1588="","",SUMIF(C$2:C1588,"Masuk",G$2:G1588)-SUMIF(C$2:C1588,"Keluar",G$2:G1588))</f>
        <v/>
      </c>
    </row>
    <row r="1589">
      <c r="A1589" s="26" t="n"/>
      <c r="B1589" s="27" t="n"/>
      <c r="C1589" s="28" t="n"/>
      <c r="D1589" s="29" t="n"/>
      <c r="E1589" s="29" t="n"/>
      <c r="F1589" s="29" t="n"/>
      <c r="G1589" s="30" t="n"/>
      <c r="H1589" s="31">
        <f>IF(G1589="","",SUMIF(C$2:C1589,"Masuk",G$2:G1589)-SUMIF(C$2:C1589,"Keluar",G$2:G1589))</f>
        <v/>
      </c>
    </row>
    <row r="1590">
      <c r="A1590" s="22" t="n"/>
      <c r="B1590" s="23" t="n"/>
      <c r="C1590" s="24" t="n"/>
      <c r="D1590" s="17" t="n"/>
      <c r="E1590" s="17" t="n"/>
      <c r="F1590" s="17" t="n"/>
      <c r="G1590" s="15" t="n"/>
      <c r="H1590" s="25">
        <f>IF(G1590="","",SUMIF(C$2:C1590,"Masuk",G$2:G1590)-SUMIF(C$2:C1590,"Keluar",G$2:G1590))</f>
        <v/>
      </c>
    </row>
    <row r="1591">
      <c r="A1591" s="26" t="n"/>
      <c r="B1591" s="27" t="n"/>
      <c r="C1591" s="28" t="n"/>
      <c r="D1591" s="29" t="n"/>
      <c r="E1591" s="29" t="n"/>
      <c r="F1591" s="29" t="n"/>
      <c r="G1591" s="30" t="n"/>
      <c r="H1591" s="31">
        <f>IF(G1591="","",SUMIF(C$2:C1591,"Masuk",G$2:G1591)-SUMIF(C$2:C1591,"Keluar",G$2:G1591))</f>
        <v/>
      </c>
    </row>
    <row r="1592">
      <c r="A1592" s="22" t="n"/>
      <c r="B1592" s="23" t="n"/>
      <c r="C1592" s="24" t="n"/>
      <c r="D1592" s="17" t="n"/>
      <c r="E1592" s="17" t="n"/>
      <c r="F1592" s="17" t="n"/>
      <c r="G1592" s="15" t="n"/>
      <c r="H1592" s="25">
        <f>IF(G1592="","",SUMIF(C$2:C1592,"Masuk",G$2:G1592)-SUMIF(C$2:C1592,"Keluar",G$2:G1592))</f>
        <v/>
      </c>
    </row>
    <row r="1593">
      <c r="A1593" s="26" t="n"/>
      <c r="B1593" s="27" t="n"/>
      <c r="C1593" s="28" t="n"/>
      <c r="D1593" s="29" t="n"/>
      <c r="E1593" s="29" t="n"/>
      <c r="F1593" s="29" t="n"/>
      <c r="G1593" s="30" t="n"/>
      <c r="H1593" s="31">
        <f>IF(G1593="","",SUMIF(C$2:C1593,"Masuk",G$2:G1593)-SUMIF(C$2:C1593,"Keluar",G$2:G1593))</f>
        <v/>
      </c>
    </row>
    <row r="1594">
      <c r="A1594" s="22" t="n"/>
      <c r="B1594" s="23" t="n"/>
      <c r="C1594" s="24" t="n"/>
      <c r="D1594" s="17" t="n"/>
      <c r="E1594" s="17" t="n"/>
      <c r="F1594" s="17" t="n"/>
      <c r="G1594" s="15" t="n"/>
      <c r="H1594" s="25">
        <f>IF(G1594="","",SUMIF(C$2:C1594,"Masuk",G$2:G1594)-SUMIF(C$2:C1594,"Keluar",G$2:G1594))</f>
        <v/>
      </c>
    </row>
    <row r="1595">
      <c r="A1595" s="26" t="n"/>
      <c r="B1595" s="27" t="n"/>
      <c r="C1595" s="28" t="n"/>
      <c r="D1595" s="29" t="n"/>
      <c r="E1595" s="29" t="n"/>
      <c r="F1595" s="29" t="n"/>
      <c r="G1595" s="30" t="n"/>
      <c r="H1595" s="31">
        <f>IF(G1595="","",SUMIF(C$2:C1595,"Masuk",G$2:G1595)-SUMIF(C$2:C1595,"Keluar",G$2:G1595))</f>
        <v/>
      </c>
    </row>
    <row r="1596">
      <c r="A1596" s="22" t="n"/>
      <c r="B1596" s="23" t="n"/>
      <c r="C1596" s="24" t="n"/>
      <c r="D1596" s="17" t="n"/>
      <c r="E1596" s="17" t="n"/>
      <c r="F1596" s="17" t="n"/>
      <c r="G1596" s="15" t="n"/>
      <c r="H1596" s="25">
        <f>IF(G1596="","",SUMIF(C$2:C1596,"Masuk",G$2:G1596)-SUMIF(C$2:C1596,"Keluar",G$2:G1596))</f>
        <v/>
      </c>
    </row>
    <row r="1597">
      <c r="A1597" s="26" t="n"/>
      <c r="B1597" s="27" t="n"/>
      <c r="C1597" s="28" t="n"/>
      <c r="D1597" s="29" t="n"/>
      <c r="E1597" s="29" t="n"/>
      <c r="F1597" s="29" t="n"/>
      <c r="G1597" s="30" t="n"/>
      <c r="H1597" s="31">
        <f>IF(G1597="","",SUMIF(C$2:C1597,"Masuk",G$2:G1597)-SUMIF(C$2:C1597,"Keluar",G$2:G1597))</f>
        <v/>
      </c>
    </row>
    <row r="1598">
      <c r="A1598" s="22" t="n"/>
      <c r="B1598" s="23" t="n"/>
      <c r="C1598" s="24" t="n"/>
      <c r="D1598" s="17" t="n"/>
      <c r="E1598" s="17" t="n"/>
      <c r="F1598" s="17" t="n"/>
      <c r="G1598" s="15" t="n"/>
      <c r="H1598" s="25">
        <f>IF(G1598="","",SUMIF(C$2:C1598,"Masuk",G$2:G1598)-SUMIF(C$2:C1598,"Keluar",G$2:G1598))</f>
        <v/>
      </c>
    </row>
    <row r="1599">
      <c r="A1599" s="26" t="n"/>
      <c r="B1599" s="27" t="n"/>
      <c r="C1599" s="28" t="n"/>
      <c r="D1599" s="29" t="n"/>
      <c r="E1599" s="29" t="n"/>
      <c r="F1599" s="29" t="n"/>
      <c r="G1599" s="30" t="n"/>
      <c r="H1599" s="31">
        <f>IF(G1599="","",SUMIF(C$2:C1599,"Masuk",G$2:G1599)-SUMIF(C$2:C1599,"Keluar",G$2:G1599))</f>
        <v/>
      </c>
    </row>
    <row r="1600">
      <c r="A1600" s="22" t="n"/>
      <c r="B1600" s="23" t="n"/>
      <c r="C1600" s="24" t="n"/>
      <c r="D1600" s="17" t="n"/>
      <c r="E1600" s="17" t="n"/>
      <c r="F1600" s="17" t="n"/>
      <c r="G1600" s="15" t="n"/>
      <c r="H1600" s="25">
        <f>IF(G1600="","",SUMIF(C$2:C1600,"Masuk",G$2:G1600)-SUMIF(C$2:C1600,"Keluar",G$2:G1600))</f>
        <v/>
      </c>
    </row>
    <row r="1601">
      <c r="A1601" s="26" t="n"/>
      <c r="B1601" s="27" t="n"/>
      <c r="C1601" s="28" t="n"/>
      <c r="D1601" s="29" t="n"/>
      <c r="E1601" s="29" t="n"/>
      <c r="F1601" s="29" t="n"/>
      <c r="G1601" s="30" t="n"/>
      <c r="H1601" s="31">
        <f>IF(G1601="","",SUMIF(C$2:C1601,"Masuk",G$2:G1601)-SUMIF(C$2:C1601,"Keluar",G$2:G1601))</f>
        <v/>
      </c>
    </row>
    <row r="1602">
      <c r="A1602" s="22" t="n"/>
      <c r="B1602" s="23" t="n"/>
      <c r="C1602" s="24" t="n"/>
      <c r="D1602" s="17" t="n"/>
      <c r="E1602" s="17" t="n"/>
      <c r="F1602" s="17" t="n"/>
      <c r="G1602" s="15" t="n"/>
      <c r="H1602" s="25">
        <f>IF(G1602="","",SUMIF(C$2:C1602,"Masuk",G$2:G1602)-SUMIF(C$2:C1602,"Keluar",G$2:G1602))</f>
        <v/>
      </c>
    </row>
    <row r="1603">
      <c r="A1603" s="26" t="n"/>
      <c r="B1603" s="27" t="n"/>
      <c r="C1603" s="28" t="n"/>
      <c r="D1603" s="29" t="n"/>
      <c r="E1603" s="29" t="n"/>
      <c r="F1603" s="29" t="n"/>
      <c r="G1603" s="30" t="n"/>
      <c r="H1603" s="31">
        <f>IF(G1603="","",SUMIF(C$2:C1603,"Masuk",G$2:G1603)-SUMIF(C$2:C1603,"Keluar",G$2:G1603))</f>
        <v/>
      </c>
    </row>
    <row r="1604">
      <c r="A1604" s="22" t="n"/>
      <c r="B1604" s="23" t="n"/>
      <c r="C1604" s="24" t="n"/>
      <c r="D1604" s="17" t="n"/>
      <c r="E1604" s="17" t="n"/>
      <c r="F1604" s="17" t="n"/>
      <c r="G1604" s="15" t="n"/>
      <c r="H1604" s="25">
        <f>IF(G1604="","",SUMIF(C$2:C1604,"Masuk",G$2:G1604)-SUMIF(C$2:C1604,"Keluar",G$2:G1604))</f>
        <v/>
      </c>
    </row>
    <row r="1605">
      <c r="A1605" s="26" t="n"/>
      <c r="B1605" s="27" t="n"/>
      <c r="C1605" s="28" t="n"/>
      <c r="D1605" s="29" t="n"/>
      <c r="E1605" s="29" t="n"/>
      <c r="F1605" s="29" t="n"/>
      <c r="G1605" s="30" t="n"/>
      <c r="H1605" s="31">
        <f>IF(G1605="","",SUMIF(C$2:C1605,"Masuk",G$2:G1605)-SUMIF(C$2:C1605,"Keluar",G$2:G1605))</f>
        <v/>
      </c>
    </row>
    <row r="1606">
      <c r="A1606" s="22" t="n"/>
      <c r="B1606" s="23" t="n"/>
      <c r="C1606" s="24" t="n"/>
      <c r="D1606" s="17" t="n"/>
      <c r="E1606" s="17" t="n"/>
      <c r="F1606" s="17" t="n"/>
      <c r="G1606" s="15" t="n"/>
      <c r="H1606" s="25">
        <f>IF(G1606="","",SUMIF(C$2:C1606,"Masuk",G$2:G1606)-SUMIF(C$2:C1606,"Keluar",G$2:G1606))</f>
        <v/>
      </c>
    </row>
    <row r="1607">
      <c r="A1607" s="26" t="n"/>
      <c r="B1607" s="27" t="n"/>
      <c r="C1607" s="28" t="n"/>
      <c r="D1607" s="29" t="n"/>
      <c r="E1607" s="29" t="n"/>
      <c r="F1607" s="29" t="n"/>
      <c r="G1607" s="30" t="n"/>
      <c r="H1607" s="31">
        <f>IF(G1607="","",SUMIF(C$2:C1607,"Masuk",G$2:G1607)-SUMIF(C$2:C1607,"Keluar",G$2:G1607))</f>
        <v/>
      </c>
    </row>
    <row r="1608">
      <c r="A1608" s="22" t="n"/>
      <c r="B1608" s="23" t="n"/>
      <c r="C1608" s="24" t="n"/>
      <c r="D1608" s="17" t="n"/>
      <c r="E1608" s="17" t="n"/>
      <c r="F1608" s="17" t="n"/>
      <c r="G1608" s="15" t="n"/>
      <c r="H1608" s="25">
        <f>IF(G1608="","",SUMIF(C$2:C1608,"Masuk",G$2:G1608)-SUMIF(C$2:C1608,"Keluar",G$2:G1608))</f>
        <v/>
      </c>
    </row>
    <row r="1609">
      <c r="A1609" s="26" t="n"/>
      <c r="B1609" s="27" t="n"/>
      <c r="C1609" s="28" t="n"/>
      <c r="D1609" s="29" t="n"/>
      <c r="E1609" s="29" t="n"/>
      <c r="F1609" s="29" t="n"/>
      <c r="G1609" s="30" t="n"/>
      <c r="H1609" s="31">
        <f>IF(G1609="","",SUMIF(C$2:C1609,"Masuk",G$2:G1609)-SUMIF(C$2:C1609,"Keluar",G$2:G1609))</f>
        <v/>
      </c>
    </row>
    <row r="1610">
      <c r="A1610" s="22" t="n"/>
      <c r="B1610" s="23" t="n"/>
      <c r="C1610" s="24" t="n"/>
      <c r="D1610" s="17" t="n"/>
      <c r="E1610" s="17" t="n"/>
      <c r="F1610" s="17" t="n"/>
      <c r="G1610" s="15" t="n"/>
      <c r="H1610" s="25">
        <f>IF(G1610="","",SUMIF(C$2:C1610,"Masuk",G$2:G1610)-SUMIF(C$2:C1610,"Keluar",G$2:G1610))</f>
        <v/>
      </c>
    </row>
    <row r="1611">
      <c r="A1611" s="26" t="n"/>
      <c r="B1611" s="27" t="n"/>
      <c r="C1611" s="28" t="n"/>
      <c r="D1611" s="29" t="n"/>
      <c r="E1611" s="29" t="n"/>
      <c r="F1611" s="29" t="n"/>
      <c r="G1611" s="30" t="n"/>
      <c r="H1611" s="31">
        <f>IF(G1611="","",SUMIF(C$2:C1611,"Masuk",G$2:G1611)-SUMIF(C$2:C1611,"Keluar",G$2:G1611))</f>
        <v/>
      </c>
    </row>
    <row r="1612">
      <c r="A1612" s="22" t="n"/>
      <c r="B1612" s="23" t="n"/>
      <c r="C1612" s="24" t="n"/>
      <c r="D1612" s="17" t="n"/>
      <c r="E1612" s="17" t="n"/>
      <c r="F1612" s="17" t="n"/>
      <c r="G1612" s="15" t="n"/>
      <c r="H1612" s="25">
        <f>IF(G1612="","",SUMIF(C$2:C1612,"Masuk",G$2:G1612)-SUMIF(C$2:C1612,"Keluar",G$2:G1612))</f>
        <v/>
      </c>
    </row>
    <row r="1613">
      <c r="A1613" s="26" t="n"/>
      <c r="B1613" s="27" t="n"/>
      <c r="C1613" s="28" t="n"/>
      <c r="D1613" s="29" t="n"/>
      <c r="E1613" s="29" t="n"/>
      <c r="F1613" s="29" t="n"/>
      <c r="G1613" s="30" t="n"/>
      <c r="H1613" s="31">
        <f>IF(G1613="","",SUMIF(C$2:C1613,"Masuk",G$2:G1613)-SUMIF(C$2:C1613,"Keluar",G$2:G1613))</f>
        <v/>
      </c>
    </row>
    <row r="1614">
      <c r="A1614" s="22" t="n"/>
      <c r="B1614" s="23" t="n"/>
      <c r="C1614" s="24" t="n"/>
      <c r="D1614" s="17" t="n"/>
      <c r="E1614" s="17" t="n"/>
      <c r="F1614" s="17" t="n"/>
      <c r="G1614" s="15" t="n"/>
      <c r="H1614" s="25">
        <f>IF(G1614="","",SUMIF(C$2:C1614,"Masuk",G$2:G1614)-SUMIF(C$2:C1614,"Keluar",G$2:G1614))</f>
        <v/>
      </c>
    </row>
    <row r="1615">
      <c r="A1615" s="26" t="n"/>
      <c r="B1615" s="27" t="n"/>
      <c r="C1615" s="28" t="n"/>
      <c r="D1615" s="29" t="n"/>
      <c r="E1615" s="29" t="n"/>
      <c r="F1615" s="29" t="n"/>
      <c r="G1615" s="30" t="n"/>
      <c r="H1615" s="31">
        <f>IF(G1615="","",SUMIF(C$2:C1615,"Masuk",G$2:G1615)-SUMIF(C$2:C1615,"Keluar",G$2:G1615))</f>
        <v/>
      </c>
    </row>
    <row r="1616">
      <c r="A1616" s="22" t="n"/>
      <c r="B1616" s="23" t="n"/>
      <c r="C1616" s="24" t="n"/>
      <c r="D1616" s="17" t="n"/>
      <c r="E1616" s="17" t="n"/>
      <c r="F1616" s="17" t="n"/>
      <c r="G1616" s="15" t="n"/>
      <c r="H1616" s="25">
        <f>IF(G1616="","",SUMIF(C$2:C1616,"Masuk",G$2:G1616)-SUMIF(C$2:C1616,"Keluar",G$2:G1616))</f>
        <v/>
      </c>
    </row>
    <row r="1617">
      <c r="A1617" s="26" t="n"/>
      <c r="B1617" s="27" t="n"/>
      <c r="C1617" s="28" t="n"/>
      <c r="D1617" s="29" t="n"/>
      <c r="E1617" s="29" t="n"/>
      <c r="F1617" s="29" t="n"/>
      <c r="G1617" s="30" t="n"/>
      <c r="H1617" s="31">
        <f>IF(G1617="","",SUMIF(C$2:C1617,"Masuk",G$2:G1617)-SUMIF(C$2:C1617,"Keluar",G$2:G1617))</f>
        <v/>
      </c>
    </row>
    <row r="1618">
      <c r="A1618" s="22" t="n"/>
      <c r="B1618" s="23" t="n"/>
      <c r="C1618" s="24" t="n"/>
      <c r="D1618" s="17" t="n"/>
      <c r="E1618" s="17" t="n"/>
      <c r="F1618" s="17" t="n"/>
      <c r="G1618" s="15" t="n"/>
      <c r="H1618" s="25">
        <f>IF(G1618="","",SUMIF(C$2:C1618,"Masuk",G$2:G1618)-SUMIF(C$2:C1618,"Keluar",G$2:G1618))</f>
        <v/>
      </c>
    </row>
    <row r="1619">
      <c r="A1619" s="26" t="n"/>
      <c r="B1619" s="27" t="n"/>
      <c r="C1619" s="28" t="n"/>
      <c r="D1619" s="29" t="n"/>
      <c r="E1619" s="29" t="n"/>
      <c r="F1619" s="29" t="n"/>
      <c r="G1619" s="30" t="n"/>
      <c r="H1619" s="31">
        <f>IF(G1619="","",SUMIF(C$2:C1619,"Masuk",G$2:G1619)-SUMIF(C$2:C1619,"Keluar",G$2:G1619))</f>
        <v/>
      </c>
    </row>
    <row r="1620">
      <c r="A1620" s="22" t="n"/>
      <c r="B1620" s="23" t="n"/>
      <c r="C1620" s="24" t="n"/>
      <c r="D1620" s="17" t="n"/>
      <c r="E1620" s="17" t="n"/>
      <c r="F1620" s="17" t="n"/>
      <c r="G1620" s="15" t="n"/>
      <c r="H1620" s="25">
        <f>IF(G1620="","",SUMIF(C$2:C1620,"Masuk",G$2:G1620)-SUMIF(C$2:C1620,"Keluar",G$2:G1620))</f>
        <v/>
      </c>
    </row>
    <row r="1621">
      <c r="A1621" s="26" t="n"/>
      <c r="B1621" s="27" t="n"/>
      <c r="C1621" s="28" t="n"/>
      <c r="D1621" s="29" t="n"/>
      <c r="E1621" s="29" t="n"/>
      <c r="F1621" s="29" t="n"/>
      <c r="G1621" s="30" t="n"/>
      <c r="H1621" s="31">
        <f>IF(G1621="","",SUMIF(C$2:C1621,"Masuk",G$2:G1621)-SUMIF(C$2:C1621,"Keluar",G$2:G1621))</f>
        <v/>
      </c>
    </row>
    <row r="1622">
      <c r="A1622" s="22" t="n"/>
      <c r="B1622" s="23" t="n"/>
      <c r="C1622" s="24" t="n"/>
      <c r="D1622" s="17" t="n"/>
      <c r="E1622" s="17" t="n"/>
      <c r="F1622" s="17" t="n"/>
      <c r="G1622" s="15" t="n"/>
      <c r="H1622" s="25">
        <f>IF(G1622="","",SUMIF(C$2:C1622,"Masuk",G$2:G1622)-SUMIF(C$2:C1622,"Keluar",G$2:G1622))</f>
        <v/>
      </c>
    </row>
    <row r="1623">
      <c r="A1623" s="26" t="n"/>
      <c r="B1623" s="27" t="n"/>
      <c r="C1623" s="28" t="n"/>
      <c r="D1623" s="29" t="n"/>
      <c r="E1623" s="29" t="n"/>
      <c r="F1623" s="29" t="n"/>
      <c r="G1623" s="30" t="n"/>
      <c r="H1623" s="31">
        <f>IF(G1623="","",SUMIF(C$2:C1623,"Masuk",G$2:G1623)-SUMIF(C$2:C1623,"Keluar",G$2:G1623))</f>
        <v/>
      </c>
    </row>
    <row r="1624">
      <c r="A1624" s="22" t="n"/>
      <c r="B1624" s="23" t="n"/>
      <c r="C1624" s="24" t="n"/>
      <c r="D1624" s="17" t="n"/>
      <c r="E1624" s="17" t="n"/>
      <c r="F1624" s="17" t="n"/>
      <c r="G1624" s="15" t="n"/>
      <c r="H1624" s="25">
        <f>IF(G1624="","",SUMIF(C$2:C1624,"Masuk",G$2:G1624)-SUMIF(C$2:C1624,"Keluar",G$2:G1624))</f>
        <v/>
      </c>
    </row>
    <row r="1625">
      <c r="A1625" s="26" t="n"/>
      <c r="B1625" s="27" t="n"/>
      <c r="C1625" s="28" t="n"/>
      <c r="D1625" s="29" t="n"/>
      <c r="E1625" s="29" t="n"/>
      <c r="F1625" s="29" t="n"/>
      <c r="G1625" s="30" t="n"/>
      <c r="H1625" s="31">
        <f>IF(G1625="","",SUMIF(C$2:C1625,"Masuk",G$2:G1625)-SUMIF(C$2:C1625,"Keluar",G$2:G1625))</f>
        <v/>
      </c>
    </row>
    <row r="1626">
      <c r="A1626" s="22" t="n"/>
      <c r="B1626" s="23" t="n"/>
      <c r="C1626" s="24" t="n"/>
      <c r="D1626" s="17" t="n"/>
      <c r="E1626" s="17" t="n"/>
      <c r="F1626" s="17" t="n"/>
      <c r="G1626" s="15" t="n"/>
      <c r="H1626" s="25">
        <f>IF(G1626="","",SUMIF(C$2:C1626,"Masuk",G$2:G1626)-SUMIF(C$2:C1626,"Keluar",G$2:G1626))</f>
        <v/>
      </c>
    </row>
    <row r="1627">
      <c r="A1627" s="26" t="n"/>
      <c r="B1627" s="27" t="n"/>
      <c r="C1627" s="28" t="n"/>
      <c r="D1627" s="29" t="n"/>
      <c r="E1627" s="29" t="n"/>
      <c r="F1627" s="29" t="n"/>
      <c r="G1627" s="30" t="n"/>
      <c r="H1627" s="31">
        <f>IF(G1627="","",SUMIF(C$2:C1627,"Masuk",G$2:G1627)-SUMIF(C$2:C1627,"Keluar",G$2:G1627))</f>
        <v/>
      </c>
    </row>
    <row r="1628">
      <c r="A1628" s="22" t="n"/>
      <c r="B1628" s="23" t="n"/>
      <c r="C1628" s="24" t="n"/>
      <c r="D1628" s="17" t="n"/>
      <c r="E1628" s="17" t="n"/>
      <c r="F1628" s="17" t="n"/>
      <c r="G1628" s="15" t="n"/>
      <c r="H1628" s="25">
        <f>IF(G1628="","",SUMIF(C$2:C1628,"Masuk",G$2:G1628)-SUMIF(C$2:C1628,"Keluar",G$2:G1628))</f>
        <v/>
      </c>
    </row>
    <row r="1629">
      <c r="A1629" s="26" t="n"/>
      <c r="B1629" s="27" t="n"/>
      <c r="C1629" s="28" t="n"/>
      <c r="D1629" s="29" t="n"/>
      <c r="E1629" s="29" t="n"/>
      <c r="F1629" s="29" t="n"/>
      <c r="G1629" s="30" t="n"/>
      <c r="H1629" s="31">
        <f>IF(G1629="","",SUMIF(C$2:C1629,"Masuk",G$2:G1629)-SUMIF(C$2:C1629,"Keluar",G$2:G1629))</f>
        <v/>
      </c>
    </row>
    <row r="1630">
      <c r="A1630" s="22" t="n"/>
      <c r="B1630" s="23" t="n"/>
      <c r="C1630" s="24" t="n"/>
      <c r="D1630" s="17" t="n"/>
      <c r="E1630" s="17" t="n"/>
      <c r="F1630" s="17" t="n"/>
      <c r="G1630" s="15" t="n"/>
      <c r="H1630" s="25">
        <f>IF(G1630="","",SUMIF(C$2:C1630,"Masuk",G$2:G1630)-SUMIF(C$2:C1630,"Keluar",G$2:G1630))</f>
        <v/>
      </c>
    </row>
    <row r="1631">
      <c r="A1631" s="26" t="n"/>
      <c r="B1631" s="27" t="n"/>
      <c r="C1631" s="28" t="n"/>
      <c r="D1631" s="29" t="n"/>
      <c r="E1631" s="29" t="n"/>
      <c r="F1631" s="29" t="n"/>
      <c r="G1631" s="30" t="n"/>
      <c r="H1631" s="31">
        <f>IF(G1631="","",SUMIF(C$2:C1631,"Masuk",G$2:G1631)-SUMIF(C$2:C1631,"Keluar",G$2:G1631))</f>
        <v/>
      </c>
    </row>
    <row r="1632">
      <c r="A1632" s="22" t="n"/>
      <c r="B1632" s="23" t="n"/>
      <c r="C1632" s="24" t="n"/>
      <c r="D1632" s="17" t="n"/>
      <c r="E1632" s="17" t="n"/>
      <c r="F1632" s="17" t="n"/>
      <c r="G1632" s="15" t="n"/>
      <c r="H1632" s="25">
        <f>IF(G1632="","",SUMIF(C$2:C1632,"Masuk",G$2:G1632)-SUMIF(C$2:C1632,"Keluar",G$2:G1632))</f>
        <v/>
      </c>
    </row>
    <row r="1633">
      <c r="A1633" s="26" t="n"/>
      <c r="B1633" s="27" t="n"/>
      <c r="C1633" s="28" t="n"/>
      <c r="D1633" s="29" t="n"/>
      <c r="E1633" s="29" t="n"/>
      <c r="F1633" s="29" t="n"/>
      <c r="G1633" s="30" t="n"/>
      <c r="H1633" s="31">
        <f>IF(G1633="","",SUMIF(C$2:C1633,"Masuk",G$2:G1633)-SUMIF(C$2:C1633,"Keluar",G$2:G1633))</f>
        <v/>
      </c>
    </row>
    <row r="1634">
      <c r="A1634" s="22" t="n"/>
      <c r="B1634" s="23" t="n"/>
      <c r="C1634" s="24" t="n"/>
      <c r="D1634" s="17" t="n"/>
      <c r="E1634" s="17" t="n"/>
      <c r="F1634" s="17" t="n"/>
      <c r="G1634" s="15" t="n"/>
      <c r="H1634" s="25">
        <f>IF(G1634="","",SUMIF(C$2:C1634,"Masuk",G$2:G1634)-SUMIF(C$2:C1634,"Keluar",G$2:G1634))</f>
        <v/>
      </c>
    </row>
    <row r="1635">
      <c r="A1635" s="26" t="n"/>
      <c r="B1635" s="27" t="n"/>
      <c r="C1635" s="28" t="n"/>
      <c r="D1635" s="29" t="n"/>
      <c r="E1635" s="29" t="n"/>
      <c r="F1635" s="29" t="n"/>
      <c r="G1635" s="30" t="n"/>
      <c r="H1635" s="31">
        <f>IF(G1635="","",SUMIF(C$2:C1635,"Masuk",G$2:G1635)-SUMIF(C$2:C1635,"Keluar",G$2:G1635))</f>
        <v/>
      </c>
    </row>
    <row r="1636">
      <c r="A1636" s="22" t="n"/>
      <c r="B1636" s="23" t="n"/>
      <c r="C1636" s="24" t="n"/>
      <c r="D1636" s="17" t="n"/>
      <c r="E1636" s="17" t="n"/>
      <c r="F1636" s="17" t="n"/>
      <c r="G1636" s="15" t="n"/>
      <c r="H1636" s="25">
        <f>IF(G1636="","",SUMIF(C$2:C1636,"Masuk",G$2:G1636)-SUMIF(C$2:C1636,"Keluar",G$2:G1636))</f>
        <v/>
      </c>
    </row>
    <row r="1637">
      <c r="A1637" s="26" t="n"/>
      <c r="B1637" s="27" t="n"/>
      <c r="C1637" s="28" t="n"/>
      <c r="D1637" s="29" t="n"/>
      <c r="E1637" s="29" t="n"/>
      <c r="F1637" s="29" t="n"/>
      <c r="G1637" s="30" t="n"/>
      <c r="H1637" s="31">
        <f>IF(G1637="","",SUMIF(C$2:C1637,"Masuk",G$2:G1637)-SUMIF(C$2:C1637,"Keluar",G$2:G1637))</f>
        <v/>
      </c>
    </row>
    <row r="1638">
      <c r="A1638" s="22" t="n"/>
      <c r="B1638" s="23" t="n"/>
      <c r="C1638" s="24" t="n"/>
      <c r="D1638" s="17" t="n"/>
      <c r="E1638" s="17" t="n"/>
      <c r="F1638" s="17" t="n"/>
      <c r="G1638" s="15" t="n"/>
      <c r="H1638" s="25">
        <f>IF(G1638="","",SUMIF(C$2:C1638,"Masuk",G$2:G1638)-SUMIF(C$2:C1638,"Keluar",G$2:G1638))</f>
        <v/>
      </c>
    </row>
    <row r="1639">
      <c r="A1639" s="26" t="n"/>
      <c r="B1639" s="27" t="n"/>
      <c r="C1639" s="28" t="n"/>
      <c r="D1639" s="29" t="n"/>
      <c r="E1639" s="29" t="n"/>
      <c r="F1639" s="29" t="n"/>
      <c r="G1639" s="30" t="n"/>
      <c r="H1639" s="31">
        <f>IF(G1639="","",SUMIF(C$2:C1639,"Masuk",G$2:G1639)-SUMIF(C$2:C1639,"Keluar",G$2:G1639))</f>
        <v/>
      </c>
    </row>
    <row r="1640">
      <c r="A1640" s="22" t="n"/>
      <c r="B1640" s="23" t="n"/>
      <c r="C1640" s="24" t="n"/>
      <c r="D1640" s="17" t="n"/>
      <c r="E1640" s="17" t="n"/>
      <c r="F1640" s="17" t="n"/>
      <c r="G1640" s="15" t="n"/>
      <c r="H1640" s="25">
        <f>IF(G1640="","",SUMIF(C$2:C1640,"Masuk",G$2:G1640)-SUMIF(C$2:C1640,"Keluar",G$2:G1640))</f>
        <v/>
      </c>
    </row>
    <row r="1641">
      <c r="A1641" s="26" t="n"/>
      <c r="B1641" s="27" t="n"/>
      <c r="C1641" s="28" t="n"/>
      <c r="D1641" s="29" t="n"/>
      <c r="E1641" s="29" t="n"/>
      <c r="F1641" s="29" t="n"/>
      <c r="G1641" s="30" t="n"/>
      <c r="H1641" s="31">
        <f>IF(G1641="","",SUMIF(C$2:C1641,"Masuk",G$2:G1641)-SUMIF(C$2:C1641,"Keluar",G$2:G1641))</f>
        <v/>
      </c>
    </row>
    <row r="1642">
      <c r="A1642" s="22" t="n"/>
      <c r="B1642" s="23" t="n"/>
      <c r="C1642" s="24" t="n"/>
      <c r="D1642" s="17" t="n"/>
      <c r="E1642" s="17" t="n"/>
      <c r="F1642" s="17" t="n"/>
      <c r="G1642" s="15" t="n"/>
      <c r="H1642" s="25">
        <f>IF(G1642="","",SUMIF(C$2:C1642,"Masuk",G$2:G1642)-SUMIF(C$2:C1642,"Keluar",G$2:G1642))</f>
        <v/>
      </c>
    </row>
    <row r="1643">
      <c r="A1643" s="26" t="n"/>
      <c r="B1643" s="27" t="n"/>
      <c r="C1643" s="28" t="n"/>
      <c r="D1643" s="29" t="n"/>
      <c r="E1643" s="29" t="n"/>
      <c r="F1643" s="29" t="n"/>
      <c r="G1643" s="30" t="n"/>
      <c r="H1643" s="31">
        <f>IF(G1643="","",SUMIF(C$2:C1643,"Masuk",G$2:G1643)-SUMIF(C$2:C1643,"Keluar",G$2:G1643))</f>
        <v/>
      </c>
    </row>
    <row r="1644">
      <c r="A1644" s="22" t="n"/>
      <c r="B1644" s="23" t="n"/>
      <c r="C1644" s="24" t="n"/>
      <c r="D1644" s="17" t="n"/>
      <c r="E1644" s="17" t="n"/>
      <c r="F1644" s="17" t="n"/>
      <c r="G1644" s="15" t="n"/>
      <c r="H1644" s="25">
        <f>IF(G1644="","",SUMIF(C$2:C1644,"Masuk",G$2:G1644)-SUMIF(C$2:C1644,"Keluar",G$2:G1644))</f>
        <v/>
      </c>
    </row>
    <row r="1645">
      <c r="A1645" s="26" t="n"/>
      <c r="B1645" s="27" t="n"/>
      <c r="C1645" s="28" t="n"/>
      <c r="D1645" s="29" t="n"/>
      <c r="E1645" s="29" t="n"/>
      <c r="F1645" s="29" t="n"/>
      <c r="G1645" s="30" t="n"/>
      <c r="H1645" s="31">
        <f>IF(G1645="","",SUMIF(C$2:C1645,"Masuk",G$2:G1645)-SUMIF(C$2:C1645,"Keluar",G$2:G1645))</f>
        <v/>
      </c>
    </row>
    <row r="1646">
      <c r="A1646" s="22" t="n"/>
      <c r="B1646" s="23" t="n"/>
      <c r="C1646" s="24" t="n"/>
      <c r="D1646" s="17" t="n"/>
      <c r="E1646" s="17" t="n"/>
      <c r="F1646" s="17" t="n"/>
      <c r="G1646" s="15" t="n"/>
      <c r="H1646" s="25">
        <f>IF(G1646="","",SUMIF(C$2:C1646,"Masuk",G$2:G1646)-SUMIF(C$2:C1646,"Keluar",G$2:G1646))</f>
        <v/>
      </c>
    </row>
    <row r="1647">
      <c r="A1647" s="26" t="n"/>
      <c r="B1647" s="27" t="n"/>
      <c r="C1647" s="28" t="n"/>
      <c r="D1647" s="29" t="n"/>
      <c r="E1647" s="29" t="n"/>
      <c r="F1647" s="29" t="n"/>
      <c r="G1647" s="30" t="n"/>
      <c r="H1647" s="31">
        <f>IF(G1647="","",SUMIF(C$2:C1647,"Masuk",G$2:G1647)-SUMIF(C$2:C1647,"Keluar",G$2:G1647))</f>
        <v/>
      </c>
    </row>
    <row r="1648">
      <c r="A1648" s="22" t="n"/>
      <c r="B1648" s="23" t="n"/>
      <c r="C1648" s="24" t="n"/>
      <c r="D1648" s="17" t="n"/>
      <c r="E1648" s="17" t="n"/>
      <c r="F1648" s="17" t="n"/>
      <c r="G1648" s="15" t="n"/>
      <c r="H1648" s="25">
        <f>IF(G1648="","",SUMIF(C$2:C1648,"Masuk",G$2:G1648)-SUMIF(C$2:C1648,"Keluar",G$2:G1648))</f>
        <v/>
      </c>
    </row>
    <row r="1649">
      <c r="A1649" s="26" t="n"/>
      <c r="B1649" s="27" t="n"/>
      <c r="C1649" s="28" t="n"/>
      <c r="D1649" s="29" t="n"/>
      <c r="E1649" s="29" t="n"/>
      <c r="F1649" s="29" t="n"/>
      <c r="G1649" s="30" t="n"/>
      <c r="H1649" s="31">
        <f>IF(G1649="","",SUMIF(C$2:C1649,"Masuk",G$2:G1649)-SUMIF(C$2:C1649,"Keluar",G$2:G1649))</f>
        <v/>
      </c>
    </row>
    <row r="1650">
      <c r="A1650" s="22" t="n"/>
      <c r="B1650" s="23" t="n"/>
      <c r="C1650" s="24" t="n"/>
      <c r="D1650" s="17" t="n"/>
      <c r="E1650" s="17" t="n"/>
      <c r="F1650" s="17" t="n"/>
      <c r="G1650" s="15" t="n"/>
      <c r="H1650" s="25">
        <f>IF(G1650="","",SUMIF(C$2:C1650,"Masuk",G$2:G1650)-SUMIF(C$2:C1650,"Keluar",G$2:G1650))</f>
        <v/>
      </c>
    </row>
    <row r="1651">
      <c r="A1651" s="26" t="n"/>
      <c r="B1651" s="27" t="n"/>
      <c r="C1651" s="28" t="n"/>
      <c r="D1651" s="29" t="n"/>
      <c r="E1651" s="29" t="n"/>
      <c r="F1651" s="29" t="n"/>
      <c r="G1651" s="30" t="n"/>
      <c r="H1651" s="31">
        <f>IF(G1651="","",SUMIF(C$2:C1651,"Masuk",G$2:G1651)-SUMIF(C$2:C1651,"Keluar",G$2:G1651))</f>
        <v/>
      </c>
    </row>
    <row r="1652">
      <c r="A1652" s="22" t="n"/>
      <c r="B1652" s="23" t="n"/>
      <c r="C1652" s="24" t="n"/>
      <c r="D1652" s="17" t="n"/>
      <c r="E1652" s="17" t="n"/>
      <c r="F1652" s="17" t="n"/>
      <c r="G1652" s="15" t="n"/>
      <c r="H1652" s="25">
        <f>IF(G1652="","",SUMIF(C$2:C1652,"Masuk",G$2:G1652)-SUMIF(C$2:C1652,"Keluar",G$2:G1652))</f>
        <v/>
      </c>
    </row>
    <row r="1653">
      <c r="A1653" s="26" t="n"/>
      <c r="B1653" s="27" t="n"/>
      <c r="C1653" s="28" t="n"/>
      <c r="D1653" s="29" t="n"/>
      <c r="E1653" s="29" t="n"/>
      <c r="F1653" s="29" t="n"/>
      <c r="G1653" s="30" t="n"/>
      <c r="H1653" s="31">
        <f>IF(G1653="","",SUMIF(C$2:C1653,"Masuk",G$2:G1653)-SUMIF(C$2:C1653,"Keluar",G$2:G1653))</f>
        <v/>
      </c>
    </row>
    <row r="1654">
      <c r="A1654" s="22" t="n"/>
      <c r="B1654" s="23" t="n"/>
      <c r="C1654" s="24" t="n"/>
      <c r="D1654" s="17" t="n"/>
      <c r="E1654" s="17" t="n"/>
      <c r="F1654" s="17" t="n"/>
      <c r="G1654" s="15" t="n"/>
      <c r="H1654" s="25">
        <f>IF(G1654="","",SUMIF(C$2:C1654,"Masuk",G$2:G1654)-SUMIF(C$2:C1654,"Keluar",G$2:G1654))</f>
        <v/>
      </c>
    </row>
    <row r="1655">
      <c r="A1655" s="26" t="n"/>
      <c r="B1655" s="27" t="n"/>
      <c r="C1655" s="28" t="n"/>
      <c r="D1655" s="29" t="n"/>
      <c r="E1655" s="29" t="n"/>
      <c r="F1655" s="29" t="n"/>
      <c r="G1655" s="30" t="n"/>
      <c r="H1655" s="31">
        <f>IF(G1655="","",SUMIF(C$2:C1655,"Masuk",G$2:G1655)-SUMIF(C$2:C1655,"Keluar",G$2:G1655))</f>
        <v/>
      </c>
    </row>
    <row r="1656">
      <c r="A1656" s="22" t="n"/>
      <c r="B1656" s="23" t="n"/>
      <c r="C1656" s="24" t="n"/>
      <c r="D1656" s="17" t="n"/>
      <c r="E1656" s="17" t="n"/>
      <c r="F1656" s="17" t="n"/>
      <c r="G1656" s="15" t="n"/>
      <c r="H1656" s="25">
        <f>IF(G1656="","",SUMIF(C$2:C1656,"Masuk",G$2:G1656)-SUMIF(C$2:C1656,"Keluar",G$2:G1656))</f>
        <v/>
      </c>
    </row>
    <row r="1657">
      <c r="A1657" s="26" t="n"/>
      <c r="B1657" s="27" t="n"/>
      <c r="C1657" s="28" t="n"/>
      <c r="D1657" s="29" t="n"/>
      <c r="E1657" s="29" t="n"/>
      <c r="F1657" s="29" t="n"/>
      <c r="G1657" s="30" t="n"/>
      <c r="H1657" s="31">
        <f>IF(G1657="","",SUMIF(C$2:C1657,"Masuk",G$2:G1657)-SUMIF(C$2:C1657,"Keluar",G$2:G1657))</f>
        <v/>
      </c>
    </row>
    <row r="1658">
      <c r="A1658" s="22" t="n"/>
      <c r="B1658" s="23" t="n"/>
      <c r="C1658" s="24" t="n"/>
      <c r="D1658" s="17" t="n"/>
      <c r="E1658" s="17" t="n"/>
      <c r="F1658" s="17" t="n"/>
      <c r="G1658" s="15" t="n"/>
      <c r="H1658" s="25">
        <f>IF(G1658="","",SUMIF(C$2:C1658,"Masuk",G$2:G1658)-SUMIF(C$2:C1658,"Keluar",G$2:G1658))</f>
        <v/>
      </c>
    </row>
    <row r="1659">
      <c r="A1659" s="26" t="n"/>
      <c r="B1659" s="27" t="n"/>
      <c r="C1659" s="28" t="n"/>
      <c r="D1659" s="29" t="n"/>
      <c r="E1659" s="29" t="n"/>
      <c r="F1659" s="29" t="n"/>
      <c r="G1659" s="30" t="n"/>
      <c r="H1659" s="31">
        <f>IF(G1659="","",SUMIF(C$2:C1659,"Masuk",G$2:G1659)-SUMIF(C$2:C1659,"Keluar",G$2:G1659))</f>
        <v/>
      </c>
    </row>
    <row r="1660">
      <c r="A1660" s="22" t="n"/>
      <c r="B1660" s="23" t="n"/>
      <c r="C1660" s="24" t="n"/>
      <c r="D1660" s="17" t="n"/>
      <c r="E1660" s="17" t="n"/>
      <c r="F1660" s="17" t="n"/>
      <c r="G1660" s="15" t="n"/>
      <c r="H1660" s="25">
        <f>IF(G1660="","",SUMIF(C$2:C1660,"Masuk",G$2:G1660)-SUMIF(C$2:C1660,"Keluar",G$2:G1660))</f>
        <v/>
      </c>
    </row>
    <row r="1661">
      <c r="A1661" s="26" t="n"/>
      <c r="B1661" s="27" t="n"/>
      <c r="C1661" s="28" t="n"/>
      <c r="D1661" s="29" t="n"/>
      <c r="E1661" s="29" t="n"/>
      <c r="F1661" s="29" t="n"/>
      <c r="G1661" s="30" t="n"/>
      <c r="H1661" s="31">
        <f>IF(G1661="","",SUMIF(C$2:C1661,"Masuk",G$2:G1661)-SUMIF(C$2:C1661,"Keluar",G$2:G1661))</f>
        <v/>
      </c>
    </row>
    <row r="1662">
      <c r="A1662" s="22" t="n"/>
      <c r="B1662" s="23" t="n"/>
      <c r="C1662" s="24" t="n"/>
      <c r="D1662" s="17" t="n"/>
      <c r="E1662" s="17" t="n"/>
      <c r="F1662" s="17" t="n"/>
      <c r="G1662" s="15" t="n"/>
      <c r="H1662" s="25">
        <f>IF(G1662="","",SUMIF(C$2:C1662,"Masuk",G$2:G1662)-SUMIF(C$2:C1662,"Keluar",G$2:G1662))</f>
        <v/>
      </c>
    </row>
    <row r="1663">
      <c r="A1663" s="26" t="n"/>
      <c r="B1663" s="27" t="n"/>
      <c r="C1663" s="28" t="n"/>
      <c r="D1663" s="29" t="n"/>
      <c r="E1663" s="29" t="n"/>
      <c r="F1663" s="29" t="n"/>
      <c r="G1663" s="30" t="n"/>
      <c r="H1663" s="31">
        <f>IF(G1663="","",SUMIF(C$2:C1663,"Masuk",G$2:G1663)-SUMIF(C$2:C1663,"Keluar",G$2:G1663))</f>
        <v/>
      </c>
    </row>
    <row r="1664">
      <c r="A1664" s="22" t="n"/>
      <c r="B1664" s="23" t="n"/>
      <c r="C1664" s="24" t="n"/>
      <c r="D1664" s="17" t="n"/>
      <c r="E1664" s="17" t="n"/>
      <c r="F1664" s="17" t="n"/>
      <c r="G1664" s="15" t="n"/>
      <c r="H1664" s="25">
        <f>IF(G1664="","",SUMIF(C$2:C1664,"Masuk",G$2:G1664)-SUMIF(C$2:C1664,"Keluar",G$2:G1664))</f>
        <v/>
      </c>
    </row>
    <row r="1665">
      <c r="A1665" s="26" t="n"/>
      <c r="B1665" s="27" t="n"/>
      <c r="C1665" s="28" t="n"/>
      <c r="D1665" s="29" t="n"/>
      <c r="E1665" s="29" t="n"/>
      <c r="F1665" s="29" t="n"/>
      <c r="G1665" s="30" t="n"/>
      <c r="H1665" s="31">
        <f>IF(G1665="","",SUMIF(C$2:C1665,"Masuk",G$2:G1665)-SUMIF(C$2:C1665,"Keluar",G$2:G1665))</f>
        <v/>
      </c>
    </row>
    <row r="1666">
      <c r="A1666" s="22" t="n"/>
      <c r="B1666" s="23" t="n"/>
      <c r="C1666" s="24" t="n"/>
      <c r="D1666" s="17" t="n"/>
      <c r="E1666" s="17" t="n"/>
      <c r="F1666" s="17" t="n"/>
      <c r="G1666" s="15" t="n"/>
      <c r="H1666" s="25">
        <f>IF(G1666="","",SUMIF(C$2:C1666,"Masuk",G$2:G1666)-SUMIF(C$2:C1666,"Keluar",G$2:G1666))</f>
        <v/>
      </c>
    </row>
    <row r="1667">
      <c r="A1667" s="26" t="n"/>
      <c r="B1667" s="27" t="n"/>
      <c r="C1667" s="28" t="n"/>
      <c r="D1667" s="29" t="n"/>
      <c r="E1667" s="29" t="n"/>
      <c r="F1667" s="29" t="n"/>
      <c r="G1667" s="30" t="n"/>
      <c r="H1667" s="31">
        <f>IF(G1667="","",SUMIF(C$2:C1667,"Masuk",G$2:G1667)-SUMIF(C$2:C1667,"Keluar",G$2:G1667))</f>
        <v/>
      </c>
    </row>
    <row r="1668">
      <c r="A1668" s="22" t="n"/>
      <c r="B1668" s="23" t="n"/>
      <c r="C1668" s="24" t="n"/>
      <c r="D1668" s="17" t="n"/>
      <c r="E1668" s="17" t="n"/>
      <c r="F1668" s="17" t="n"/>
      <c r="G1668" s="15" t="n"/>
      <c r="H1668" s="25">
        <f>IF(G1668="","",SUMIF(C$2:C1668,"Masuk",G$2:G1668)-SUMIF(C$2:C1668,"Keluar",G$2:G1668))</f>
        <v/>
      </c>
    </row>
    <row r="1669">
      <c r="A1669" s="26" t="n"/>
      <c r="B1669" s="27" t="n"/>
      <c r="C1669" s="28" t="n"/>
      <c r="D1669" s="29" t="n"/>
      <c r="E1669" s="29" t="n"/>
      <c r="F1669" s="29" t="n"/>
      <c r="G1669" s="30" t="n"/>
      <c r="H1669" s="31">
        <f>IF(G1669="","",SUMIF(C$2:C1669,"Masuk",G$2:G1669)-SUMIF(C$2:C1669,"Keluar",G$2:G1669))</f>
        <v/>
      </c>
    </row>
    <row r="1670">
      <c r="A1670" s="22" t="n"/>
      <c r="B1670" s="23" t="n"/>
      <c r="C1670" s="24" t="n"/>
      <c r="D1670" s="17" t="n"/>
      <c r="E1670" s="17" t="n"/>
      <c r="F1670" s="17" t="n"/>
      <c r="G1670" s="15" t="n"/>
      <c r="H1670" s="25">
        <f>IF(G1670="","",SUMIF(C$2:C1670,"Masuk",G$2:G1670)-SUMIF(C$2:C1670,"Keluar",G$2:G1670))</f>
        <v/>
      </c>
    </row>
    <row r="1671">
      <c r="A1671" s="26" t="n"/>
      <c r="B1671" s="27" t="n"/>
      <c r="C1671" s="28" t="n"/>
      <c r="D1671" s="29" t="n"/>
      <c r="E1671" s="29" t="n"/>
      <c r="F1671" s="29" t="n"/>
      <c r="G1671" s="30" t="n"/>
      <c r="H1671" s="31">
        <f>IF(G1671="","",SUMIF(C$2:C1671,"Masuk",G$2:G1671)-SUMIF(C$2:C1671,"Keluar",G$2:G1671))</f>
        <v/>
      </c>
    </row>
    <row r="1672">
      <c r="A1672" s="22" t="n"/>
      <c r="B1672" s="23" t="n"/>
      <c r="C1672" s="24" t="n"/>
      <c r="D1672" s="17" t="n"/>
      <c r="E1672" s="17" t="n"/>
      <c r="F1672" s="17" t="n"/>
      <c r="G1672" s="15" t="n"/>
      <c r="H1672" s="25">
        <f>IF(G1672="","",SUMIF(C$2:C1672,"Masuk",G$2:G1672)-SUMIF(C$2:C1672,"Keluar",G$2:G1672))</f>
        <v/>
      </c>
    </row>
    <row r="1673">
      <c r="A1673" s="26" t="n"/>
      <c r="B1673" s="27" t="n"/>
      <c r="C1673" s="28" t="n"/>
      <c r="D1673" s="29" t="n"/>
      <c r="E1673" s="29" t="n"/>
      <c r="F1673" s="29" t="n"/>
      <c r="G1673" s="30" t="n"/>
      <c r="H1673" s="31">
        <f>IF(G1673="","",SUMIF(C$2:C1673,"Masuk",G$2:G1673)-SUMIF(C$2:C1673,"Keluar",G$2:G1673))</f>
        <v/>
      </c>
    </row>
    <row r="1674">
      <c r="A1674" s="22" t="n"/>
      <c r="B1674" s="23" t="n"/>
      <c r="C1674" s="24" t="n"/>
      <c r="D1674" s="17" t="n"/>
      <c r="E1674" s="17" t="n"/>
      <c r="F1674" s="17" t="n"/>
      <c r="G1674" s="15" t="n"/>
      <c r="H1674" s="25">
        <f>IF(G1674="","",SUMIF(C$2:C1674,"Masuk",G$2:G1674)-SUMIF(C$2:C1674,"Keluar",G$2:G1674))</f>
        <v/>
      </c>
    </row>
    <row r="1675">
      <c r="A1675" s="26" t="n"/>
      <c r="B1675" s="27" t="n"/>
      <c r="C1675" s="28" t="n"/>
      <c r="D1675" s="29" t="n"/>
      <c r="E1675" s="29" t="n"/>
      <c r="F1675" s="29" t="n"/>
      <c r="G1675" s="30" t="n"/>
      <c r="H1675" s="31">
        <f>IF(G1675="","",SUMIF(C$2:C1675,"Masuk",G$2:G1675)-SUMIF(C$2:C1675,"Keluar",G$2:G1675))</f>
        <v/>
      </c>
    </row>
    <row r="1676">
      <c r="A1676" s="22" t="n"/>
      <c r="B1676" s="23" t="n"/>
      <c r="C1676" s="24" t="n"/>
      <c r="D1676" s="17" t="n"/>
      <c r="E1676" s="17" t="n"/>
      <c r="F1676" s="17" t="n"/>
      <c r="G1676" s="15" t="n"/>
      <c r="H1676" s="25">
        <f>IF(G1676="","",SUMIF(C$2:C1676,"Masuk",G$2:G1676)-SUMIF(C$2:C1676,"Keluar",G$2:G1676))</f>
        <v/>
      </c>
    </row>
    <row r="1677">
      <c r="A1677" s="26" t="n"/>
      <c r="B1677" s="27" t="n"/>
      <c r="C1677" s="28" t="n"/>
      <c r="D1677" s="29" t="n"/>
      <c r="E1677" s="29" t="n"/>
      <c r="F1677" s="29" t="n"/>
      <c r="G1677" s="30" t="n"/>
      <c r="H1677" s="31">
        <f>IF(G1677="","",SUMIF(C$2:C1677,"Masuk",G$2:G1677)-SUMIF(C$2:C1677,"Keluar",G$2:G1677))</f>
        <v/>
      </c>
    </row>
    <row r="1678">
      <c r="A1678" s="22" t="n"/>
      <c r="B1678" s="23" t="n"/>
      <c r="C1678" s="24" t="n"/>
      <c r="D1678" s="17" t="n"/>
      <c r="E1678" s="17" t="n"/>
      <c r="F1678" s="17" t="n"/>
      <c r="G1678" s="15" t="n"/>
      <c r="H1678" s="25">
        <f>IF(G1678="","",SUMIF(C$2:C1678,"Masuk",G$2:G1678)-SUMIF(C$2:C1678,"Keluar",G$2:G1678))</f>
        <v/>
      </c>
    </row>
    <row r="1679">
      <c r="A1679" s="26" t="n"/>
      <c r="B1679" s="27" t="n"/>
      <c r="C1679" s="28" t="n"/>
      <c r="D1679" s="29" t="n"/>
      <c r="E1679" s="29" t="n"/>
      <c r="F1679" s="29" t="n"/>
      <c r="G1679" s="30" t="n"/>
      <c r="H1679" s="31">
        <f>IF(G1679="","",SUMIF(C$2:C1679,"Masuk",G$2:G1679)-SUMIF(C$2:C1679,"Keluar",G$2:G1679))</f>
        <v/>
      </c>
    </row>
    <row r="1680">
      <c r="A1680" s="22" t="n"/>
      <c r="B1680" s="23" t="n"/>
      <c r="C1680" s="24" t="n"/>
      <c r="D1680" s="17" t="n"/>
      <c r="E1680" s="17" t="n"/>
      <c r="F1680" s="17" t="n"/>
      <c r="G1680" s="15" t="n"/>
      <c r="H1680" s="25">
        <f>IF(G1680="","",SUMIF(C$2:C1680,"Masuk",G$2:G1680)-SUMIF(C$2:C1680,"Keluar",G$2:G1680))</f>
        <v/>
      </c>
    </row>
    <row r="1681">
      <c r="A1681" s="26" t="n"/>
      <c r="B1681" s="27" t="n"/>
      <c r="C1681" s="28" t="n"/>
      <c r="D1681" s="29" t="n"/>
      <c r="E1681" s="29" t="n"/>
      <c r="F1681" s="29" t="n"/>
      <c r="G1681" s="30" t="n"/>
      <c r="H1681" s="31">
        <f>IF(G1681="","",SUMIF(C$2:C1681,"Masuk",G$2:G1681)-SUMIF(C$2:C1681,"Keluar",G$2:G1681))</f>
        <v/>
      </c>
    </row>
    <row r="1682">
      <c r="A1682" s="22" t="n"/>
      <c r="B1682" s="23" t="n"/>
      <c r="C1682" s="24" t="n"/>
      <c r="D1682" s="17" t="n"/>
      <c r="E1682" s="17" t="n"/>
      <c r="F1682" s="17" t="n"/>
      <c r="G1682" s="15" t="n"/>
      <c r="H1682" s="25">
        <f>IF(G1682="","",SUMIF(C$2:C1682,"Masuk",G$2:G1682)-SUMIF(C$2:C1682,"Keluar",G$2:G1682))</f>
        <v/>
      </c>
    </row>
    <row r="1683">
      <c r="A1683" s="26" t="n"/>
      <c r="B1683" s="27" t="n"/>
      <c r="C1683" s="28" t="n"/>
      <c r="D1683" s="29" t="n"/>
      <c r="E1683" s="29" t="n"/>
      <c r="F1683" s="29" t="n"/>
      <c r="G1683" s="30" t="n"/>
      <c r="H1683" s="31">
        <f>IF(G1683="","",SUMIF(C$2:C1683,"Masuk",G$2:G1683)-SUMIF(C$2:C1683,"Keluar",G$2:G1683))</f>
        <v/>
      </c>
    </row>
    <row r="1684">
      <c r="A1684" s="22" t="n"/>
      <c r="B1684" s="23" t="n"/>
      <c r="C1684" s="24" t="n"/>
      <c r="D1684" s="17" t="n"/>
      <c r="E1684" s="17" t="n"/>
      <c r="F1684" s="17" t="n"/>
      <c r="G1684" s="15" t="n"/>
      <c r="H1684" s="25">
        <f>IF(G1684="","",SUMIF(C$2:C1684,"Masuk",G$2:G1684)-SUMIF(C$2:C1684,"Keluar",G$2:G1684))</f>
        <v/>
      </c>
    </row>
    <row r="1685">
      <c r="A1685" s="26" t="n"/>
      <c r="B1685" s="27" t="n"/>
      <c r="C1685" s="28" t="n"/>
      <c r="D1685" s="29" t="n"/>
      <c r="E1685" s="29" t="n"/>
      <c r="F1685" s="29" t="n"/>
      <c r="G1685" s="30" t="n"/>
      <c r="H1685" s="31">
        <f>IF(G1685="","",SUMIF(C$2:C1685,"Masuk",G$2:G1685)-SUMIF(C$2:C1685,"Keluar",G$2:G1685))</f>
        <v/>
      </c>
    </row>
    <row r="1686">
      <c r="A1686" s="22" t="n"/>
      <c r="B1686" s="23" t="n"/>
      <c r="C1686" s="24" t="n"/>
      <c r="D1686" s="17" t="n"/>
      <c r="E1686" s="17" t="n"/>
      <c r="F1686" s="17" t="n"/>
      <c r="G1686" s="15" t="n"/>
      <c r="H1686" s="25">
        <f>IF(G1686="","",SUMIF(C$2:C1686,"Masuk",G$2:G1686)-SUMIF(C$2:C1686,"Keluar",G$2:G1686))</f>
        <v/>
      </c>
    </row>
    <row r="1687">
      <c r="A1687" s="26" t="n"/>
      <c r="B1687" s="27" t="n"/>
      <c r="C1687" s="28" t="n"/>
      <c r="D1687" s="29" t="n"/>
      <c r="E1687" s="29" t="n"/>
      <c r="F1687" s="29" t="n"/>
      <c r="G1687" s="30" t="n"/>
      <c r="H1687" s="31">
        <f>IF(G1687="","",SUMIF(C$2:C1687,"Masuk",G$2:G1687)-SUMIF(C$2:C1687,"Keluar",G$2:G1687))</f>
        <v/>
      </c>
    </row>
    <row r="1688">
      <c r="A1688" s="22" t="n"/>
      <c r="B1688" s="23" t="n"/>
      <c r="C1688" s="24" t="n"/>
      <c r="D1688" s="17" t="n"/>
      <c r="E1688" s="17" t="n"/>
      <c r="F1688" s="17" t="n"/>
      <c r="G1688" s="15" t="n"/>
      <c r="H1688" s="25">
        <f>IF(G1688="","",SUMIF(C$2:C1688,"Masuk",G$2:G1688)-SUMIF(C$2:C1688,"Keluar",G$2:G1688))</f>
        <v/>
      </c>
    </row>
    <row r="1689">
      <c r="A1689" s="26" t="n"/>
      <c r="B1689" s="27" t="n"/>
      <c r="C1689" s="28" t="n"/>
      <c r="D1689" s="29" t="n"/>
      <c r="E1689" s="29" t="n"/>
      <c r="F1689" s="29" t="n"/>
      <c r="G1689" s="30" t="n"/>
      <c r="H1689" s="31">
        <f>IF(G1689="","",SUMIF(C$2:C1689,"Masuk",G$2:G1689)-SUMIF(C$2:C1689,"Keluar",G$2:G1689))</f>
        <v/>
      </c>
    </row>
    <row r="1690">
      <c r="A1690" s="22" t="n"/>
      <c r="B1690" s="23" t="n"/>
      <c r="C1690" s="24" t="n"/>
      <c r="D1690" s="17" t="n"/>
      <c r="E1690" s="17" t="n"/>
      <c r="F1690" s="17" t="n"/>
      <c r="G1690" s="15" t="n"/>
      <c r="H1690" s="25">
        <f>IF(G1690="","",SUMIF(C$2:C1690,"Masuk",G$2:G1690)-SUMIF(C$2:C1690,"Keluar",G$2:G1690))</f>
        <v/>
      </c>
    </row>
    <row r="1691">
      <c r="A1691" s="26" t="n"/>
      <c r="B1691" s="27" t="n"/>
      <c r="C1691" s="28" t="n"/>
      <c r="D1691" s="29" t="n"/>
      <c r="E1691" s="29" t="n"/>
      <c r="F1691" s="29" t="n"/>
      <c r="G1691" s="30" t="n"/>
      <c r="H1691" s="31">
        <f>IF(G1691="","",SUMIF(C$2:C1691,"Masuk",G$2:G1691)-SUMIF(C$2:C1691,"Keluar",G$2:G1691))</f>
        <v/>
      </c>
    </row>
    <row r="1692">
      <c r="A1692" s="22" t="n"/>
      <c r="B1692" s="23" t="n"/>
      <c r="C1692" s="24" t="n"/>
      <c r="D1692" s="17" t="n"/>
      <c r="E1692" s="17" t="n"/>
      <c r="F1692" s="17" t="n"/>
      <c r="G1692" s="15" t="n"/>
      <c r="H1692" s="25">
        <f>IF(G1692="","",SUMIF(C$2:C1692,"Masuk",G$2:G1692)-SUMIF(C$2:C1692,"Keluar",G$2:G1692))</f>
        <v/>
      </c>
    </row>
    <row r="1693">
      <c r="A1693" s="26" t="n"/>
      <c r="B1693" s="27" t="n"/>
      <c r="C1693" s="28" t="n"/>
      <c r="D1693" s="29" t="n"/>
      <c r="E1693" s="29" t="n"/>
      <c r="F1693" s="29" t="n"/>
      <c r="G1693" s="30" t="n"/>
      <c r="H1693" s="31">
        <f>IF(G1693="","",SUMIF(C$2:C1693,"Masuk",G$2:G1693)-SUMIF(C$2:C1693,"Keluar",G$2:G1693))</f>
        <v/>
      </c>
    </row>
    <row r="1694">
      <c r="A1694" s="22" t="n"/>
      <c r="B1694" s="23" t="n"/>
      <c r="C1694" s="24" t="n"/>
      <c r="D1694" s="17" t="n"/>
      <c r="E1694" s="17" t="n"/>
      <c r="F1694" s="17" t="n"/>
      <c r="G1694" s="15" t="n"/>
      <c r="H1694" s="25">
        <f>IF(G1694="","",SUMIF(C$2:C1694,"Masuk",G$2:G1694)-SUMIF(C$2:C1694,"Keluar",G$2:G1694))</f>
        <v/>
      </c>
    </row>
    <row r="1695">
      <c r="A1695" s="26" t="n"/>
      <c r="B1695" s="27" t="n"/>
      <c r="C1695" s="28" t="n"/>
      <c r="D1695" s="29" t="n"/>
      <c r="E1695" s="29" t="n"/>
      <c r="F1695" s="29" t="n"/>
      <c r="G1695" s="30" t="n"/>
      <c r="H1695" s="31">
        <f>IF(G1695="","",SUMIF(C$2:C1695,"Masuk",G$2:G1695)-SUMIF(C$2:C1695,"Keluar",G$2:G1695))</f>
        <v/>
      </c>
    </row>
    <row r="1696">
      <c r="A1696" s="22" t="n"/>
      <c r="B1696" s="23" t="n"/>
      <c r="C1696" s="24" t="n"/>
      <c r="D1696" s="17" t="n"/>
      <c r="E1696" s="17" t="n"/>
      <c r="F1696" s="17" t="n"/>
      <c r="G1696" s="15" t="n"/>
      <c r="H1696" s="25">
        <f>IF(G1696="","",SUMIF(C$2:C1696,"Masuk",G$2:G1696)-SUMIF(C$2:C1696,"Keluar",G$2:G1696))</f>
        <v/>
      </c>
    </row>
    <row r="1697">
      <c r="A1697" s="26" t="n"/>
      <c r="B1697" s="27" t="n"/>
      <c r="C1697" s="28" t="n"/>
      <c r="D1697" s="29" t="n"/>
      <c r="E1697" s="29" t="n"/>
      <c r="F1697" s="29" t="n"/>
      <c r="G1697" s="30" t="n"/>
      <c r="H1697" s="31">
        <f>IF(G1697="","",SUMIF(C$2:C1697,"Masuk",G$2:G1697)-SUMIF(C$2:C1697,"Keluar",G$2:G1697))</f>
        <v/>
      </c>
    </row>
    <row r="1698">
      <c r="A1698" s="22" t="n"/>
      <c r="B1698" s="23" t="n"/>
      <c r="C1698" s="24" t="n"/>
      <c r="D1698" s="17" t="n"/>
      <c r="E1698" s="17" t="n"/>
      <c r="F1698" s="17" t="n"/>
      <c r="G1698" s="15" t="n"/>
      <c r="H1698" s="25">
        <f>IF(G1698="","",SUMIF(C$2:C1698,"Masuk",G$2:G1698)-SUMIF(C$2:C1698,"Keluar",G$2:G1698))</f>
        <v/>
      </c>
    </row>
    <row r="1699">
      <c r="A1699" s="26" t="n"/>
      <c r="B1699" s="27" t="n"/>
      <c r="C1699" s="28" t="n"/>
      <c r="D1699" s="29" t="n"/>
      <c r="E1699" s="29" t="n"/>
      <c r="F1699" s="29" t="n"/>
      <c r="G1699" s="30" t="n"/>
      <c r="H1699" s="31">
        <f>IF(G1699="","",SUMIF(C$2:C1699,"Masuk",G$2:G1699)-SUMIF(C$2:C1699,"Keluar",G$2:G1699))</f>
        <v/>
      </c>
    </row>
    <row r="1700">
      <c r="A1700" s="22" t="n"/>
      <c r="B1700" s="23" t="n"/>
      <c r="C1700" s="24" t="n"/>
      <c r="D1700" s="17" t="n"/>
      <c r="E1700" s="17" t="n"/>
      <c r="F1700" s="17" t="n"/>
      <c r="G1700" s="15" t="n"/>
      <c r="H1700" s="25">
        <f>IF(G1700="","",SUMIF(C$2:C1700,"Masuk",G$2:G1700)-SUMIF(C$2:C1700,"Keluar",G$2:G1700))</f>
        <v/>
      </c>
    </row>
    <row r="1701">
      <c r="A1701" s="26" t="n"/>
      <c r="B1701" s="27" t="n"/>
      <c r="C1701" s="28" t="n"/>
      <c r="D1701" s="29" t="n"/>
      <c r="E1701" s="29" t="n"/>
      <c r="F1701" s="29" t="n"/>
      <c r="G1701" s="30" t="n"/>
      <c r="H1701" s="31">
        <f>IF(G1701="","",SUMIF(C$2:C1701,"Masuk",G$2:G1701)-SUMIF(C$2:C1701,"Keluar",G$2:G1701))</f>
        <v/>
      </c>
    </row>
    <row r="1702">
      <c r="A1702" s="22" t="n"/>
      <c r="B1702" s="23" t="n"/>
      <c r="C1702" s="24" t="n"/>
      <c r="D1702" s="17" t="n"/>
      <c r="E1702" s="17" t="n"/>
      <c r="F1702" s="17" t="n"/>
      <c r="G1702" s="15" t="n"/>
      <c r="H1702" s="25">
        <f>IF(G1702="","",SUMIF(C$2:C1702,"Masuk",G$2:G1702)-SUMIF(C$2:C1702,"Keluar",G$2:G1702))</f>
        <v/>
      </c>
    </row>
    <row r="1703">
      <c r="A1703" s="26" t="n"/>
      <c r="B1703" s="27" t="n"/>
      <c r="C1703" s="28" t="n"/>
      <c r="D1703" s="29" t="n"/>
      <c r="E1703" s="29" t="n"/>
      <c r="F1703" s="29" t="n"/>
      <c r="G1703" s="30" t="n"/>
      <c r="H1703" s="31">
        <f>IF(G1703="","",SUMIF(C$2:C1703,"Masuk",G$2:G1703)-SUMIF(C$2:C1703,"Keluar",G$2:G1703))</f>
        <v/>
      </c>
    </row>
    <row r="1704">
      <c r="A1704" s="22" t="n"/>
      <c r="B1704" s="23" t="n"/>
      <c r="C1704" s="24" t="n"/>
      <c r="D1704" s="17" t="n"/>
      <c r="E1704" s="17" t="n"/>
      <c r="F1704" s="17" t="n"/>
      <c r="G1704" s="15" t="n"/>
      <c r="H1704" s="25">
        <f>IF(G1704="","",SUMIF(C$2:C1704,"Masuk",G$2:G1704)-SUMIF(C$2:C1704,"Keluar",G$2:G1704))</f>
        <v/>
      </c>
    </row>
    <row r="1705">
      <c r="A1705" s="26" t="n"/>
      <c r="B1705" s="27" t="n"/>
      <c r="C1705" s="28" t="n"/>
      <c r="D1705" s="29" t="n"/>
      <c r="E1705" s="29" t="n"/>
      <c r="F1705" s="29" t="n"/>
      <c r="G1705" s="30" t="n"/>
      <c r="H1705" s="31">
        <f>IF(G1705="","",SUMIF(C$2:C1705,"Masuk",G$2:G1705)-SUMIF(C$2:C1705,"Keluar",G$2:G1705))</f>
        <v/>
      </c>
    </row>
    <row r="1706">
      <c r="A1706" s="22" t="n"/>
      <c r="B1706" s="23" t="n"/>
      <c r="C1706" s="24" t="n"/>
      <c r="D1706" s="17" t="n"/>
      <c r="E1706" s="17" t="n"/>
      <c r="F1706" s="17" t="n"/>
      <c r="G1706" s="15" t="n"/>
      <c r="H1706" s="25">
        <f>IF(G1706="","",SUMIF(C$2:C1706,"Masuk",G$2:G1706)-SUMIF(C$2:C1706,"Keluar",G$2:G1706))</f>
        <v/>
      </c>
    </row>
    <row r="1707">
      <c r="A1707" s="26" t="n"/>
      <c r="B1707" s="27" t="n"/>
      <c r="C1707" s="28" t="n"/>
      <c r="D1707" s="29" t="n"/>
      <c r="E1707" s="29" t="n"/>
      <c r="F1707" s="29" t="n"/>
      <c r="G1707" s="30" t="n"/>
      <c r="H1707" s="31">
        <f>IF(G1707="","",SUMIF(C$2:C1707,"Masuk",G$2:G1707)-SUMIF(C$2:C1707,"Keluar",G$2:G1707))</f>
        <v/>
      </c>
    </row>
    <row r="1708">
      <c r="A1708" s="22" t="n"/>
      <c r="B1708" s="23" t="n"/>
      <c r="C1708" s="24" t="n"/>
      <c r="D1708" s="17" t="n"/>
      <c r="E1708" s="17" t="n"/>
      <c r="F1708" s="17" t="n"/>
      <c r="G1708" s="15" t="n"/>
      <c r="H1708" s="25">
        <f>IF(G1708="","",SUMIF(C$2:C1708,"Masuk",G$2:G1708)-SUMIF(C$2:C1708,"Keluar",G$2:G1708))</f>
        <v/>
      </c>
    </row>
    <row r="1709">
      <c r="A1709" s="26" t="n"/>
      <c r="B1709" s="27" t="n"/>
      <c r="C1709" s="28" t="n"/>
      <c r="D1709" s="29" t="n"/>
      <c r="E1709" s="29" t="n"/>
      <c r="F1709" s="29" t="n"/>
      <c r="G1709" s="30" t="n"/>
      <c r="H1709" s="31">
        <f>IF(G1709="","",SUMIF(C$2:C1709,"Masuk",G$2:G1709)-SUMIF(C$2:C1709,"Keluar",G$2:G1709))</f>
        <v/>
      </c>
    </row>
    <row r="1710">
      <c r="A1710" s="22" t="n"/>
      <c r="B1710" s="23" t="n"/>
      <c r="C1710" s="24" t="n"/>
      <c r="D1710" s="17" t="n"/>
      <c r="E1710" s="17" t="n"/>
      <c r="F1710" s="17" t="n"/>
      <c r="G1710" s="15" t="n"/>
      <c r="H1710" s="25">
        <f>IF(G1710="","",SUMIF(C$2:C1710,"Masuk",G$2:G1710)-SUMIF(C$2:C1710,"Keluar",G$2:G1710))</f>
        <v/>
      </c>
    </row>
    <row r="1711">
      <c r="A1711" s="26" t="n"/>
      <c r="B1711" s="27" t="n"/>
      <c r="C1711" s="28" t="n"/>
      <c r="D1711" s="29" t="n"/>
      <c r="E1711" s="29" t="n"/>
      <c r="F1711" s="29" t="n"/>
      <c r="G1711" s="30" t="n"/>
      <c r="H1711" s="31">
        <f>IF(G1711="","",SUMIF(C$2:C1711,"Masuk",G$2:G1711)-SUMIF(C$2:C1711,"Keluar",G$2:G1711))</f>
        <v/>
      </c>
    </row>
    <row r="1712">
      <c r="A1712" s="22" t="n"/>
      <c r="B1712" s="23" t="n"/>
      <c r="C1712" s="24" t="n"/>
      <c r="D1712" s="17" t="n"/>
      <c r="E1712" s="17" t="n"/>
      <c r="F1712" s="17" t="n"/>
      <c r="G1712" s="15" t="n"/>
      <c r="H1712" s="25">
        <f>IF(G1712="","",SUMIF(C$2:C1712,"Masuk",G$2:G1712)-SUMIF(C$2:C1712,"Keluar",G$2:G1712))</f>
        <v/>
      </c>
    </row>
    <row r="1713">
      <c r="A1713" s="26" t="n"/>
      <c r="B1713" s="27" t="n"/>
      <c r="C1713" s="28" t="n"/>
      <c r="D1713" s="29" t="n"/>
      <c r="E1713" s="29" t="n"/>
      <c r="F1713" s="29" t="n"/>
      <c r="G1713" s="30" t="n"/>
      <c r="H1713" s="31">
        <f>IF(G1713="","",SUMIF(C$2:C1713,"Masuk",G$2:G1713)-SUMIF(C$2:C1713,"Keluar",G$2:G1713))</f>
        <v/>
      </c>
    </row>
    <row r="1714">
      <c r="A1714" s="22" t="n"/>
      <c r="B1714" s="23" t="n"/>
      <c r="C1714" s="24" t="n"/>
      <c r="D1714" s="17" t="n"/>
      <c r="E1714" s="17" t="n"/>
      <c r="F1714" s="17" t="n"/>
      <c r="G1714" s="15" t="n"/>
      <c r="H1714" s="25">
        <f>IF(G1714="","",SUMIF(C$2:C1714,"Masuk",G$2:G1714)-SUMIF(C$2:C1714,"Keluar",G$2:G1714))</f>
        <v/>
      </c>
    </row>
    <row r="1715">
      <c r="A1715" s="26" t="n"/>
      <c r="B1715" s="27" t="n"/>
      <c r="C1715" s="28" t="n"/>
      <c r="D1715" s="29" t="n"/>
      <c r="E1715" s="29" t="n"/>
      <c r="F1715" s="29" t="n"/>
      <c r="G1715" s="30" t="n"/>
      <c r="H1715" s="31">
        <f>IF(G1715="","",SUMIF(C$2:C1715,"Masuk",G$2:G1715)-SUMIF(C$2:C1715,"Keluar",G$2:G1715))</f>
        <v/>
      </c>
    </row>
    <row r="1716">
      <c r="A1716" s="22" t="n"/>
      <c r="B1716" s="23" t="n"/>
      <c r="C1716" s="24" t="n"/>
      <c r="D1716" s="17" t="n"/>
      <c r="E1716" s="17" t="n"/>
      <c r="F1716" s="17" t="n"/>
      <c r="G1716" s="15" t="n"/>
      <c r="H1716" s="25">
        <f>IF(G1716="","",SUMIF(C$2:C1716,"Masuk",G$2:G1716)-SUMIF(C$2:C1716,"Keluar",G$2:G1716))</f>
        <v/>
      </c>
    </row>
    <row r="1717">
      <c r="A1717" s="26" t="n"/>
      <c r="B1717" s="27" t="n"/>
      <c r="C1717" s="28" t="n"/>
      <c r="D1717" s="29" t="n"/>
      <c r="E1717" s="29" t="n"/>
      <c r="F1717" s="29" t="n"/>
      <c r="G1717" s="30" t="n"/>
      <c r="H1717" s="31">
        <f>IF(G1717="","",SUMIF(C$2:C1717,"Masuk",G$2:G1717)-SUMIF(C$2:C1717,"Keluar",G$2:G1717))</f>
        <v/>
      </c>
    </row>
    <row r="1718">
      <c r="A1718" s="22" t="n"/>
      <c r="B1718" s="23" t="n"/>
      <c r="C1718" s="24" t="n"/>
      <c r="D1718" s="17" t="n"/>
      <c r="E1718" s="17" t="n"/>
      <c r="F1718" s="17" t="n"/>
      <c r="G1718" s="15" t="n"/>
      <c r="H1718" s="25">
        <f>IF(G1718="","",SUMIF(C$2:C1718,"Masuk",G$2:G1718)-SUMIF(C$2:C1718,"Keluar",G$2:G1718))</f>
        <v/>
      </c>
    </row>
    <row r="1719">
      <c r="A1719" s="26" t="n"/>
      <c r="B1719" s="27" t="n"/>
      <c r="C1719" s="28" t="n"/>
      <c r="D1719" s="29" t="n"/>
      <c r="E1719" s="29" t="n"/>
      <c r="F1719" s="29" t="n"/>
      <c r="G1719" s="30" t="n"/>
      <c r="H1719" s="31">
        <f>IF(G1719="","",SUMIF(C$2:C1719,"Masuk",G$2:G1719)-SUMIF(C$2:C1719,"Keluar",G$2:G1719))</f>
        <v/>
      </c>
    </row>
    <row r="1720">
      <c r="A1720" s="22" t="n"/>
      <c r="B1720" s="23" t="n"/>
      <c r="C1720" s="24" t="n"/>
      <c r="D1720" s="17" t="n"/>
      <c r="E1720" s="17" t="n"/>
      <c r="F1720" s="17" t="n"/>
      <c r="G1720" s="15" t="n"/>
      <c r="H1720" s="25">
        <f>IF(G1720="","",SUMIF(C$2:C1720,"Masuk",G$2:G1720)-SUMIF(C$2:C1720,"Keluar",G$2:G1720))</f>
        <v/>
      </c>
    </row>
    <row r="1721">
      <c r="A1721" s="26" t="n"/>
      <c r="B1721" s="27" t="n"/>
      <c r="C1721" s="28" t="n"/>
      <c r="D1721" s="29" t="n"/>
      <c r="E1721" s="29" t="n"/>
      <c r="F1721" s="29" t="n"/>
      <c r="G1721" s="30" t="n"/>
      <c r="H1721" s="31">
        <f>IF(G1721="","",SUMIF(C$2:C1721,"Masuk",G$2:G1721)-SUMIF(C$2:C1721,"Keluar",G$2:G1721))</f>
        <v/>
      </c>
    </row>
    <row r="1722">
      <c r="A1722" s="22" t="n"/>
      <c r="B1722" s="23" t="n"/>
      <c r="C1722" s="24" t="n"/>
      <c r="D1722" s="17" t="n"/>
      <c r="E1722" s="17" t="n"/>
      <c r="F1722" s="17" t="n"/>
      <c r="G1722" s="15" t="n"/>
      <c r="H1722" s="25">
        <f>IF(G1722="","",SUMIF(C$2:C1722,"Masuk",G$2:G1722)-SUMIF(C$2:C1722,"Keluar",G$2:G1722))</f>
        <v/>
      </c>
    </row>
    <row r="1723">
      <c r="A1723" s="26" t="n"/>
      <c r="B1723" s="27" t="n"/>
      <c r="C1723" s="28" t="n"/>
      <c r="D1723" s="29" t="n"/>
      <c r="E1723" s="29" t="n"/>
      <c r="F1723" s="29" t="n"/>
      <c r="G1723" s="30" t="n"/>
      <c r="H1723" s="31">
        <f>IF(G1723="","",SUMIF(C$2:C1723,"Masuk",G$2:G1723)-SUMIF(C$2:C1723,"Keluar",G$2:G1723))</f>
        <v/>
      </c>
    </row>
    <row r="1724">
      <c r="A1724" s="22" t="n"/>
      <c r="B1724" s="23" t="n"/>
      <c r="C1724" s="24" t="n"/>
      <c r="D1724" s="17" t="n"/>
      <c r="E1724" s="17" t="n"/>
      <c r="F1724" s="17" t="n"/>
      <c r="G1724" s="15" t="n"/>
      <c r="H1724" s="25">
        <f>IF(G1724="","",SUMIF(C$2:C1724,"Masuk",G$2:G1724)-SUMIF(C$2:C1724,"Keluar",G$2:G1724))</f>
        <v/>
      </c>
    </row>
    <row r="1725">
      <c r="A1725" s="26" t="n"/>
      <c r="B1725" s="27" t="n"/>
      <c r="C1725" s="28" t="n"/>
      <c r="D1725" s="29" t="n"/>
      <c r="E1725" s="29" t="n"/>
      <c r="F1725" s="29" t="n"/>
      <c r="G1725" s="30" t="n"/>
      <c r="H1725" s="31">
        <f>IF(G1725="","",SUMIF(C$2:C1725,"Masuk",G$2:G1725)-SUMIF(C$2:C1725,"Keluar",G$2:G1725))</f>
        <v/>
      </c>
    </row>
    <row r="1726">
      <c r="A1726" s="22" t="n"/>
      <c r="B1726" s="23" t="n"/>
      <c r="C1726" s="24" t="n"/>
      <c r="D1726" s="17" t="n"/>
      <c r="E1726" s="17" t="n"/>
      <c r="F1726" s="17" t="n"/>
      <c r="G1726" s="15" t="n"/>
      <c r="H1726" s="25">
        <f>IF(G1726="","",SUMIF(C$2:C1726,"Masuk",G$2:G1726)-SUMIF(C$2:C1726,"Keluar",G$2:G1726))</f>
        <v/>
      </c>
    </row>
    <row r="1727">
      <c r="A1727" s="26" t="n"/>
      <c r="B1727" s="27" t="n"/>
      <c r="C1727" s="28" t="n"/>
      <c r="D1727" s="29" t="n"/>
      <c r="E1727" s="29" t="n"/>
      <c r="F1727" s="29" t="n"/>
      <c r="G1727" s="30" t="n"/>
      <c r="H1727" s="31">
        <f>IF(G1727="","",SUMIF(C$2:C1727,"Masuk",G$2:G1727)-SUMIF(C$2:C1727,"Keluar",G$2:G1727))</f>
        <v/>
      </c>
    </row>
    <row r="1728">
      <c r="A1728" s="22" t="n"/>
      <c r="B1728" s="23" t="n"/>
      <c r="C1728" s="24" t="n"/>
      <c r="D1728" s="17" t="n"/>
      <c r="E1728" s="17" t="n"/>
      <c r="F1728" s="17" t="n"/>
      <c r="G1728" s="15" t="n"/>
      <c r="H1728" s="25">
        <f>IF(G1728="","",SUMIF(C$2:C1728,"Masuk",G$2:G1728)-SUMIF(C$2:C1728,"Keluar",G$2:G1728))</f>
        <v/>
      </c>
    </row>
    <row r="1729">
      <c r="A1729" s="26" t="n"/>
      <c r="B1729" s="27" t="n"/>
      <c r="C1729" s="28" t="n"/>
      <c r="D1729" s="29" t="n"/>
      <c r="E1729" s="29" t="n"/>
      <c r="F1729" s="29" t="n"/>
      <c r="G1729" s="30" t="n"/>
      <c r="H1729" s="31">
        <f>IF(G1729="","",SUMIF(C$2:C1729,"Masuk",G$2:G1729)-SUMIF(C$2:C1729,"Keluar",G$2:G1729))</f>
        <v/>
      </c>
    </row>
    <row r="1730">
      <c r="A1730" s="22" t="n"/>
      <c r="B1730" s="23" t="n"/>
      <c r="C1730" s="24" t="n"/>
      <c r="D1730" s="17" t="n"/>
      <c r="E1730" s="17" t="n"/>
      <c r="F1730" s="17" t="n"/>
      <c r="G1730" s="15" t="n"/>
      <c r="H1730" s="25">
        <f>IF(G1730="","",SUMIF(C$2:C1730,"Masuk",G$2:G1730)-SUMIF(C$2:C1730,"Keluar",G$2:G1730))</f>
        <v/>
      </c>
    </row>
    <row r="1731">
      <c r="A1731" s="26" t="n"/>
      <c r="B1731" s="27" t="n"/>
      <c r="C1731" s="28" t="n"/>
      <c r="D1731" s="29" t="n"/>
      <c r="E1731" s="29" t="n"/>
      <c r="F1731" s="29" t="n"/>
      <c r="G1731" s="30" t="n"/>
      <c r="H1731" s="31">
        <f>IF(G1731="","",SUMIF(C$2:C1731,"Masuk",G$2:G1731)-SUMIF(C$2:C1731,"Keluar",G$2:G1731))</f>
        <v/>
      </c>
    </row>
    <row r="1732">
      <c r="A1732" s="22" t="n"/>
      <c r="B1732" s="23" t="n"/>
      <c r="C1732" s="24" t="n"/>
      <c r="D1732" s="17" t="n"/>
      <c r="E1732" s="17" t="n"/>
      <c r="F1732" s="17" t="n"/>
      <c r="G1732" s="15" t="n"/>
      <c r="H1732" s="25">
        <f>IF(G1732="","",SUMIF(C$2:C1732,"Masuk",G$2:G1732)-SUMIF(C$2:C1732,"Keluar",G$2:G1732))</f>
        <v/>
      </c>
    </row>
    <row r="1733">
      <c r="A1733" s="26" t="n"/>
      <c r="B1733" s="27" t="n"/>
      <c r="C1733" s="28" t="n"/>
      <c r="D1733" s="29" t="n"/>
      <c r="E1733" s="29" t="n"/>
      <c r="F1733" s="29" t="n"/>
      <c r="G1733" s="30" t="n"/>
      <c r="H1733" s="31">
        <f>IF(G1733="","",SUMIF(C$2:C1733,"Masuk",G$2:G1733)-SUMIF(C$2:C1733,"Keluar",G$2:G1733))</f>
        <v/>
      </c>
    </row>
    <row r="1734">
      <c r="A1734" s="22" t="n"/>
      <c r="B1734" s="23" t="n"/>
      <c r="C1734" s="24" t="n"/>
      <c r="D1734" s="17" t="n"/>
      <c r="E1734" s="17" t="n"/>
      <c r="F1734" s="17" t="n"/>
      <c r="G1734" s="15" t="n"/>
      <c r="H1734" s="25">
        <f>IF(G1734="","",SUMIF(C$2:C1734,"Masuk",G$2:G1734)-SUMIF(C$2:C1734,"Keluar",G$2:G1734))</f>
        <v/>
      </c>
    </row>
    <row r="1735">
      <c r="A1735" s="26" t="n"/>
      <c r="B1735" s="27" t="n"/>
      <c r="C1735" s="28" t="n"/>
      <c r="D1735" s="29" t="n"/>
      <c r="E1735" s="29" t="n"/>
      <c r="F1735" s="29" t="n"/>
      <c r="G1735" s="30" t="n"/>
      <c r="H1735" s="31">
        <f>IF(G1735="","",SUMIF(C$2:C1735,"Masuk",G$2:G1735)-SUMIF(C$2:C1735,"Keluar",G$2:G1735))</f>
        <v/>
      </c>
    </row>
    <row r="1736">
      <c r="A1736" s="22" t="n"/>
      <c r="B1736" s="23" t="n"/>
      <c r="C1736" s="24" t="n"/>
      <c r="D1736" s="17" t="n"/>
      <c r="E1736" s="17" t="n"/>
      <c r="F1736" s="17" t="n"/>
      <c r="G1736" s="15" t="n"/>
      <c r="H1736" s="25">
        <f>IF(G1736="","",SUMIF(C$2:C1736,"Masuk",G$2:G1736)-SUMIF(C$2:C1736,"Keluar",G$2:G1736))</f>
        <v/>
      </c>
    </row>
    <row r="1737">
      <c r="A1737" s="26" t="n"/>
      <c r="B1737" s="27" t="n"/>
      <c r="C1737" s="28" t="n"/>
      <c r="D1737" s="29" t="n"/>
      <c r="E1737" s="29" t="n"/>
      <c r="F1737" s="29" t="n"/>
      <c r="G1737" s="30" t="n"/>
      <c r="H1737" s="31">
        <f>IF(G1737="","",SUMIF(C$2:C1737,"Masuk",G$2:G1737)-SUMIF(C$2:C1737,"Keluar",G$2:G1737))</f>
        <v/>
      </c>
    </row>
    <row r="1738">
      <c r="A1738" s="22" t="n"/>
      <c r="B1738" s="23" t="n"/>
      <c r="C1738" s="24" t="n"/>
      <c r="D1738" s="17" t="n"/>
      <c r="E1738" s="17" t="n"/>
      <c r="F1738" s="17" t="n"/>
      <c r="G1738" s="15" t="n"/>
      <c r="H1738" s="25">
        <f>IF(G1738="","",SUMIF(C$2:C1738,"Masuk",G$2:G1738)-SUMIF(C$2:C1738,"Keluar",G$2:G1738))</f>
        <v/>
      </c>
    </row>
    <row r="1739">
      <c r="A1739" s="26" t="n"/>
      <c r="B1739" s="27" t="n"/>
      <c r="C1739" s="28" t="n"/>
      <c r="D1739" s="29" t="n"/>
      <c r="E1739" s="29" t="n"/>
      <c r="F1739" s="29" t="n"/>
      <c r="G1739" s="30" t="n"/>
      <c r="H1739" s="31">
        <f>IF(G1739="","",SUMIF(C$2:C1739,"Masuk",G$2:G1739)-SUMIF(C$2:C1739,"Keluar",G$2:G1739))</f>
        <v/>
      </c>
    </row>
    <row r="1740">
      <c r="A1740" s="22" t="n"/>
      <c r="B1740" s="23" t="n"/>
      <c r="C1740" s="24" t="n"/>
      <c r="D1740" s="17" t="n"/>
      <c r="E1740" s="17" t="n"/>
      <c r="F1740" s="17" t="n"/>
      <c r="G1740" s="15" t="n"/>
      <c r="H1740" s="25">
        <f>IF(G1740="","",SUMIF(C$2:C1740,"Masuk",G$2:G1740)-SUMIF(C$2:C1740,"Keluar",G$2:G1740))</f>
        <v/>
      </c>
    </row>
    <row r="1741">
      <c r="A1741" s="26" t="n"/>
      <c r="B1741" s="27" t="n"/>
      <c r="C1741" s="28" t="n"/>
      <c r="D1741" s="29" t="n"/>
      <c r="E1741" s="29" t="n"/>
      <c r="F1741" s="29" t="n"/>
      <c r="G1741" s="30" t="n"/>
      <c r="H1741" s="31">
        <f>IF(G1741="","",SUMIF(C$2:C1741,"Masuk",G$2:G1741)-SUMIF(C$2:C1741,"Keluar",G$2:G1741))</f>
        <v/>
      </c>
    </row>
    <row r="1742">
      <c r="A1742" s="22" t="n"/>
      <c r="B1742" s="23" t="n"/>
      <c r="C1742" s="24" t="n"/>
      <c r="D1742" s="17" t="n"/>
      <c r="E1742" s="17" t="n"/>
      <c r="F1742" s="17" t="n"/>
      <c r="G1742" s="15" t="n"/>
      <c r="H1742" s="25">
        <f>IF(G1742="","",SUMIF(C$2:C1742,"Masuk",G$2:G1742)-SUMIF(C$2:C1742,"Keluar",G$2:G1742))</f>
        <v/>
      </c>
    </row>
    <row r="1743">
      <c r="A1743" s="26" t="n"/>
      <c r="B1743" s="27" t="n"/>
      <c r="C1743" s="28" t="n"/>
      <c r="D1743" s="29" t="n"/>
      <c r="E1743" s="29" t="n"/>
      <c r="F1743" s="29" t="n"/>
      <c r="G1743" s="30" t="n"/>
      <c r="H1743" s="31">
        <f>IF(G1743="","",SUMIF(C$2:C1743,"Masuk",G$2:G1743)-SUMIF(C$2:C1743,"Keluar",G$2:G1743))</f>
        <v/>
      </c>
    </row>
    <row r="1744">
      <c r="A1744" s="22" t="n"/>
      <c r="B1744" s="23" t="n"/>
      <c r="C1744" s="24" t="n"/>
      <c r="D1744" s="17" t="n"/>
      <c r="E1744" s="17" t="n"/>
      <c r="F1744" s="17" t="n"/>
      <c r="G1744" s="15" t="n"/>
      <c r="H1744" s="25">
        <f>IF(G1744="","",SUMIF(C$2:C1744,"Masuk",G$2:G1744)-SUMIF(C$2:C1744,"Keluar",G$2:G1744))</f>
        <v/>
      </c>
    </row>
    <row r="1745">
      <c r="A1745" s="26" t="n"/>
      <c r="B1745" s="27" t="n"/>
      <c r="C1745" s="28" t="n"/>
      <c r="D1745" s="29" t="n"/>
      <c r="E1745" s="29" t="n"/>
      <c r="F1745" s="29" t="n"/>
      <c r="G1745" s="30" t="n"/>
      <c r="H1745" s="31">
        <f>IF(G1745="","",SUMIF(C$2:C1745,"Masuk",G$2:G1745)-SUMIF(C$2:C1745,"Keluar",G$2:G1745))</f>
        <v/>
      </c>
    </row>
    <row r="1746">
      <c r="A1746" s="22" t="n"/>
      <c r="B1746" s="23" t="n"/>
      <c r="C1746" s="24" t="n"/>
      <c r="D1746" s="17" t="n"/>
      <c r="E1746" s="17" t="n"/>
      <c r="F1746" s="17" t="n"/>
      <c r="G1746" s="15" t="n"/>
      <c r="H1746" s="25">
        <f>IF(G1746="","",SUMIF(C$2:C1746,"Masuk",G$2:G1746)-SUMIF(C$2:C1746,"Keluar",G$2:G1746))</f>
        <v/>
      </c>
    </row>
    <row r="1747">
      <c r="A1747" s="26" t="n"/>
      <c r="B1747" s="27" t="n"/>
      <c r="C1747" s="28" t="n"/>
      <c r="D1747" s="29" t="n"/>
      <c r="E1747" s="29" t="n"/>
      <c r="F1747" s="29" t="n"/>
      <c r="G1747" s="30" t="n"/>
      <c r="H1747" s="31">
        <f>IF(G1747="","",SUMIF(C$2:C1747,"Masuk",G$2:G1747)-SUMIF(C$2:C1747,"Keluar",G$2:G1747))</f>
        <v/>
      </c>
    </row>
    <row r="1748">
      <c r="A1748" s="22" t="n"/>
      <c r="B1748" s="23" t="n"/>
      <c r="C1748" s="24" t="n"/>
      <c r="D1748" s="17" t="n"/>
      <c r="E1748" s="17" t="n"/>
      <c r="F1748" s="17" t="n"/>
      <c r="G1748" s="15" t="n"/>
      <c r="H1748" s="25">
        <f>IF(G1748="","",SUMIF(C$2:C1748,"Masuk",G$2:G1748)-SUMIF(C$2:C1748,"Keluar",G$2:G1748))</f>
        <v/>
      </c>
    </row>
    <row r="1749">
      <c r="A1749" s="26" t="n"/>
      <c r="B1749" s="27" t="n"/>
      <c r="C1749" s="28" t="n"/>
      <c r="D1749" s="29" t="n"/>
      <c r="E1749" s="29" t="n"/>
      <c r="F1749" s="29" t="n"/>
      <c r="G1749" s="30" t="n"/>
      <c r="H1749" s="31">
        <f>IF(G1749="","",SUMIF(C$2:C1749,"Masuk",G$2:G1749)-SUMIF(C$2:C1749,"Keluar",G$2:G1749))</f>
        <v/>
      </c>
    </row>
    <row r="1750">
      <c r="A1750" s="22" t="n"/>
      <c r="B1750" s="23" t="n"/>
      <c r="C1750" s="24" t="n"/>
      <c r="D1750" s="17" t="n"/>
      <c r="E1750" s="17" t="n"/>
      <c r="F1750" s="17" t="n"/>
      <c r="G1750" s="15" t="n"/>
      <c r="H1750" s="25">
        <f>IF(G1750="","",SUMIF(C$2:C1750,"Masuk",G$2:G1750)-SUMIF(C$2:C1750,"Keluar",G$2:G1750))</f>
        <v/>
      </c>
    </row>
    <row r="1751">
      <c r="A1751" s="26" t="n"/>
      <c r="B1751" s="27" t="n"/>
      <c r="C1751" s="28" t="n"/>
      <c r="D1751" s="29" t="n"/>
      <c r="E1751" s="29" t="n"/>
      <c r="F1751" s="29" t="n"/>
      <c r="G1751" s="30" t="n"/>
      <c r="H1751" s="31">
        <f>IF(G1751="","",SUMIF(C$2:C1751,"Masuk",G$2:G1751)-SUMIF(C$2:C1751,"Keluar",G$2:G1751))</f>
        <v/>
      </c>
    </row>
    <row r="1752">
      <c r="A1752" s="22" t="n"/>
      <c r="B1752" s="23" t="n"/>
      <c r="C1752" s="24" t="n"/>
      <c r="D1752" s="17" t="n"/>
      <c r="E1752" s="17" t="n"/>
      <c r="F1752" s="17" t="n"/>
      <c r="G1752" s="15" t="n"/>
      <c r="H1752" s="25">
        <f>IF(G1752="","",SUMIF(C$2:C1752,"Masuk",G$2:G1752)-SUMIF(C$2:C1752,"Keluar",G$2:G1752))</f>
        <v/>
      </c>
    </row>
    <row r="1753">
      <c r="A1753" s="26" t="n"/>
      <c r="B1753" s="27" t="n"/>
      <c r="C1753" s="28" t="n"/>
      <c r="D1753" s="29" t="n"/>
      <c r="E1753" s="29" t="n"/>
      <c r="F1753" s="29" t="n"/>
      <c r="G1753" s="30" t="n"/>
      <c r="H1753" s="31">
        <f>IF(G1753="","",SUMIF(C$2:C1753,"Masuk",G$2:G1753)-SUMIF(C$2:C1753,"Keluar",G$2:G1753))</f>
        <v/>
      </c>
    </row>
    <row r="1754">
      <c r="A1754" s="22" t="n"/>
      <c r="B1754" s="23" t="n"/>
      <c r="C1754" s="24" t="n"/>
      <c r="D1754" s="17" t="n"/>
      <c r="E1754" s="17" t="n"/>
      <c r="F1754" s="17" t="n"/>
      <c r="G1754" s="15" t="n"/>
      <c r="H1754" s="25">
        <f>IF(G1754="","",SUMIF(C$2:C1754,"Masuk",G$2:G1754)-SUMIF(C$2:C1754,"Keluar",G$2:G1754))</f>
        <v/>
      </c>
    </row>
    <row r="1755">
      <c r="A1755" s="26" t="n"/>
      <c r="B1755" s="27" t="n"/>
      <c r="C1755" s="28" t="n"/>
      <c r="D1755" s="29" t="n"/>
      <c r="E1755" s="29" t="n"/>
      <c r="F1755" s="29" t="n"/>
      <c r="G1755" s="30" t="n"/>
      <c r="H1755" s="31">
        <f>IF(G1755="","",SUMIF(C$2:C1755,"Masuk",G$2:G1755)-SUMIF(C$2:C1755,"Keluar",G$2:G1755))</f>
        <v/>
      </c>
    </row>
    <row r="1756">
      <c r="A1756" s="22" t="n"/>
      <c r="B1756" s="23" t="n"/>
      <c r="C1756" s="24" t="n"/>
      <c r="D1756" s="17" t="n"/>
      <c r="E1756" s="17" t="n"/>
      <c r="F1756" s="17" t="n"/>
      <c r="G1756" s="15" t="n"/>
      <c r="H1756" s="25">
        <f>IF(G1756="","",SUMIF(C$2:C1756,"Masuk",G$2:G1756)-SUMIF(C$2:C1756,"Keluar",G$2:G1756))</f>
        <v/>
      </c>
    </row>
    <row r="1757">
      <c r="A1757" s="26" t="n"/>
      <c r="B1757" s="27" t="n"/>
      <c r="C1757" s="28" t="n"/>
      <c r="D1757" s="29" t="n"/>
      <c r="E1757" s="29" t="n"/>
      <c r="F1757" s="29" t="n"/>
      <c r="G1757" s="30" t="n"/>
      <c r="H1757" s="31">
        <f>IF(G1757="","",SUMIF(C$2:C1757,"Masuk",G$2:G1757)-SUMIF(C$2:C1757,"Keluar",G$2:G1757))</f>
        <v/>
      </c>
    </row>
    <row r="1758">
      <c r="A1758" s="22" t="n"/>
      <c r="B1758" s="23" t="n"/>
      <c r="C1758" s="24" t="n"/>
      <c r="D1758" s="17" t="n"/>
      <c r="E1758" s="17" t="n"/>
      <c r="F1758" s="17" t="n"/>
      <c r="G1758" s="15" t="n"/>
      <c r="H1758" s="25">
        <f>IF(G1758="","",SUMIF(C$2:C1758,"Masuk",G$2:G1758)-SUMIF(C$2:C1758,"Keluar",G$2:G1758))</f>
        <v/>
      </c>
    </row>
    <row r="1759">
      <c r="A1759" s="26" t="n"/>
      <c r="B1759" s="27" t="n"/>
      <c r="C1759" s="28" t="n"/>
      <c r="D1759" s="29" t="n"/>
      <c r="E1759" s="29" t="n"/>
      <c r="F1759" s="29" t="n"/>
      <c r="G1759" s="30" t="n"/>
      <c r="H1759" s="31">
        <f>IF(G1759="","",SUMIF(C$2:C1759,"Masuk",G$2:G1759)-SUMIF(C$2:C1759,"Keluar",G$2:G1759))</f>
        <v/>
      </c>
    </row>
    <row r="1760">
      <c r="A1760" s="22" t="n"/>
      <c r="B1760" s="23" t="n"/>
      <c r="C1760" s="24" t="n"/>
      <c r="D1760" s="17" t="n"/>
      <c r="E1760" s="17" t="n"/>
      <c r="F1760" s="17" t="n"/>
      <c r="G1760" s="15" t="n"/>
      <c r="H1760" s="25">
        <f>IF(G1760="","",SUMIF(C$2:C1760,"Masuk",G$2:G1760)-SUMIF(C$2:C1760,"Keluar",G$2:G1760))</f>
        <v/>
      </c>
    </row>
    <row r="1761">
      <c r="A1761" s="26" t="n"/>
      <c r="B1761" s="27" t="n"/>
      <c r="C1761" s="28" t="n"/>
      <c r="D1761" s="29" t="n"/>
      <c r="E1761" s="29" t="n"/>
      <c r="F1761" s="29" t="n"/>
      <c r="G1761" s="30" t="n"/>
      <c r="H1761" s="31">
        <f>IF(G1761="","",SUMIF(C$2:C1761,"Masuk",G$2:G1761)-SUMIF(C$2:C1761,"Keluar",G$2:G1761))</f>
        <v/>
      </c>
    </row>
    <row r="1762">
      <c r="A1762" s="22" t="n"/>
      <c r="B1762" s="23" t="n"/>
      <c r="C1762" s="24" t="n"/>
      <c r="D1762" s="17" t="n"/>
      <c r="E1762" s="17" t="n"/>
      <c r="F1762" s="17" t="n"/>
      <c r="G1762" s="15" t="n"/>
      <c r="H1762" s="25">
        <f>IF(G1762="","",SUMIF(C$2:C1762,"Masuk",G$2:G1762)-SUMIF(C$2:C1762,"Keluar",G$2:G1762))</f>
        <v/>
      </c>
    </row>
    <row r="1763">
      <c r="A1763" s="26" t="n"/>
      <c r="B1763" s="27" t="n"/>
      <c r="C1763" s="28" t="n"/>
      <c r="D1763" s="29" t="n"/>
      <c r="E1763" s="29" t="n"/>
      <c r="F1763" s="29" t="n"/>
      <c r="G1763" s="30" t="n"/>
      <c r="H1763" s="31">
        <f>IF(G1763="","",SUMIF(C$2:C1763,"Masuk",G$2:G1763)-SUMIF(C$2:C1763,"Keluar",G$2:G1763))</f>
        <v/>
      </c>
    </row>
    <row r="1764">
      <c r="A1764" s="22" t="n"/>
      <c r="B1764" s="23" t="n"/>
      <c r="C1764" s="24" t="n"/>
      <c r="D1764" s="17" t="n"/>
      <c r="E1764" s="17" t="n"/>
      <c r="F1764" s="17" t="n"/>
      <c r="G1764" s="15" t="n"/>
      <c r="H1764" s="25">
        <f>IF(G1764="","",SUMIF(C$2:C1764,"Masuk",G$2:G1764)-SUMIF(C$2:C1764,"Keluar",G$2:G1764))</f>
        <v/>
      </c>
    </row>
    <row r="1765">
      <c r="A1765" s="26" t="n"/>
      <c r="B1765" s="27" t="n"/>
      <c r="C1765" s="28" t="n"/>
      <c r="D1765" s="29" t="n"/>
      <c r="E1765" s="29" t="n"/>
      <c r="F1765" s="29" t="n"/>
      <c r="G1765" s="30" t="n"/>
      <c r="H1765" s="31">
        <f>IF(G1765="","",SUMIF(C$2:C1765,"Masuk",G$2:G1765)-SUMIF(C$2:C1765,"Keluar",G$2:G1765))</f>
        <v/>
      </c>
    </row>
    <row r="1766">
      <c r="A1766" s="22" t="n"/>
      <c r="B1766" s="23" t="n"/>
      <c r="C1766" s="24" t="n"/>
      <c r="D1766" s="17" t="n"/>
      <c r="E1766" s="17" t="n"/>
      <c r="F1766" s="17" t="n"/>
      <c r="G1766" s="15" t="n"/>
      <c r="H1766" s="25">
        <f>IF(G1766="","",SUMIF(C$2:C1766,"Masuk",G$2:G1766)-SUMIF(C$2:C1766,"Keluar",G$2:G1766))</f>
        <v/>
      </c>
    </row>
    <row r="1767">
      <c r="A1767" s="26" t="n"/>
      <c r="B1767" s="27" t="n"/>
      <c r="C1767" s="28" t="n"/>
      <c r="D1767" s="29" t="n"/>
      <c r="E1767" s="29" t="n"/>
      <c r="F1767" s="29" t="n"/>
      <c r="G1767" s="30" t="n"/>
      <c r="H1767" s="31">
        <f>IF(G1767="","",SUMIF(C$2:C1767,"Masuk",G$2:G1767)-SUMIF(C$2:C1767,"Keluar",G$2:G1767))</f>
        <v/>
      </c>
    </row>
    <row r="1768">
      <c r="A1768" s="22" t="n"/>
      <c r="B1768" s="23" t="n"/>
      <c r="C1768" s="24" t="n"/>
      <c r="D1768" s="17" t="n"/>
      <c r="E1768" s="17" t="n"/>
      <c r="F1768" s="17" t="n"/>
      <c r="G1768" s="15" t="n"/>
      <c r="H1768" s="25">
        <f>IF(G1768="","",SUMIF(C$2:C1768,"Masuk",G$2:G1768)-SUMIF(C$2:C1768,"Keluar",G$2:G1768))</f>
        <v/>
      </c>
    </row>
    <row r="1769">
      <c r="A1769" s="26" t="n"/>
      <c r="B1769" s="27" t="n"/>
      <c r="C1769" s="28" t="n"/>
      <c r="D1769" s="29" t="n"/>
      <c r="E1769" s="29" t="n"/>
      <c r="F1769" s="29" t="n"/>
      <c r="G1769" s="30" t="n"/>
      <c r="H1769" s="31">
        <f>IF(G1769="","",SUMIF(C$2:C1769,"Masuk",G$2:G1769)-SUMIF(C$2:C1769,"Keluar",G$2:G1769))</f>
        <v/>
      </c>
    </row>
    <row r="1770">
      <c r="A1770" s="22" t="n"/>
      <c r="B1770" s="23" t="n"/>
      <c r="C1770" s="24" t="n"/>
      <c r="D1770" s="17" t="n"/>
      <c r="E1770" s="17" t="n"/>
      <c r="F1770" s="17" t="n"/>
      <c r="G1770" s="15" t="n"/>
      <c r="H1770" s="25">
        <f>IF(G1770="","",SUMIF(C$2:C1770,"Masuk",G$2:G1770)-SUMIF(C$2:C1770,"Keluar",G$2:G1770))</f>
        <v/>
      </c>
    </row>
    <row r="1771">
      <c r="A1771" s="26" t="n"/>
      <c r="B1771" s="27" t="n"/>
      <c r="C1771" s="28" t="n"/>
      <c r="D1771" s="29" t="n"/>
      <c r="E1771" s="29" t="n"/>
      <c r="F1771" s="29" t="n"/>
      <c r="G1771" s="30" t="n"/>
      <c r="H1771" s="31">
        <f>IF(G1771="","",SUMIF(C$2:C1771,"Masuk",G$2:G1771)-SUMIF(C$2:C1771,"Keluar",G$2:G1771))</f>
        <v/>
      </c>
    </row>
    <row r="1772">
      <c r="A1772" s="22" t="n"/>
      <c r="B1772" s="23" t="n"/>
      <c r="C1772" s="24" t="n"/>
      <c r="D1772" s="17" t="n"/>
      <c r="E1772" s="17" t="n"/>
      <c r="F1772" s="17" t="n"/>
      <c r="G1772" s="15" t="n"/>
      <c r="H1772" s="25">
        <f>IF(G1772="","",SUMIF(C$2:C1772,"Masuk",G$2:G1772)-SUMIF(C$2:C1772,"Keluar",G$2:G1772))</f>
        <v/>
      </c>
    </row>
    <row r="1773">
      <c r="A1773" s="26" t="n"/>
      <c r="B1773" s="27" t="n"/>
      <c r="C1773" s="28" t="n"/>
      <c r="D1773" s="29" t="n"/>
      <c r="E1773" s="29" t="n"/>
      <c r="F1773" s="29" t="n"/>
      <c r="G1773" s="30" t="n"/>
      <c r="H1773" s="31">
        <f>IF(G1773="","",SUMIF(C$2:C1773,"Masuk",G$2:G1773)-SUMIF(C$2:C1773,"Keluar",G$2:G1773))</f>
        <v/>
      </c>
    </row>
    <row r="1774">
      <c r="A1774" s="22" t="n"/>
      <c r="B1774" s="23" t="n"/>
      <c r="C1774" s="24" t="n"/>
      <c r="D1774" s="17" t="n"/>
      <c r="E1774" s="17" t="n"/>
      <c r="F1774" s="17" t="n"/>
      <c r="G1774" s="15" t="n"/>
      <c r="H1774" s="25">
        <f>IF(G1774="","",SUMIF(C$2:C1774,"Masuk",G$2:G1774)-SUMIF(C$2:C1774,"Keluar",G$2:G1774))</f>
        <v/>
      </c>
    </row>
    <row r="1775">
      <c r="A1775" s="26" t="n"/>
      <c r="B1775" s="27" t="n"/>
      <c r="C1775" s="28" t="n"/>
      <c r="D1775" s="29" t="n"/>
      <c r="E1775" s="29" t="n"/>
      <c r="F1775" s="29" t="n"/>
      <c r="G1775" s="30" t="n"/>
      <c r="H1775" s="31">
        <f>IF(G1775="","",SUMIF(C$2:C1775,"Masuk",G$2:G1775)-SUMIF(C$2:C1775,"Keluar",G$2:G1775))</f>
        <v/>
      </c>
    </row>
    <row r="1776">
      <c r="A1776" s="22" t="n"/>
      <c r="B1776" s="23" t="n"/>
      <c r="C1776" s="24" t="n"/>
      <c r="D1776" s="17" t="n"/>
      <c r="E1776" s="17" t="n"/>
      <c r="F1776" s="17" t="n"/>
      <c r="G1776" s="15" t="n"/>
      <c r="H1776" s="25">
        <f>IF(G1776="","",SUMIF(C$2:C1776,"Masuk",G$2:G1776)-SUMIF(C$2:C1776,"Keluar",G$2:G1776))</f>
        <v/>
      </c>
    </row>
    <row r="1777">
      <c r="A1777" s="26" t="n"/>
      <c r="B1777" s="27" t="n"/>
      <c r="C1777" s="28" t="n"/>
      <c r="D1777" s="29" t="n"/>
      <c r="E1777" s="29" t="n"/>
      <c r="F1777" s="29" t="n"/>
      <c r="G1777" s="30" t="n"/>
      <c r="H1777" s="31">
        <f>IF(G1777="","",SUMIF(C$2:C1777,"Masuk",G$2:G1777)-SUMIF(C$2:C1777,"Keluar",G$2:G1777))</f>
        <v/>
      </c>
    </row>
    <row r="1778">
      <c r="A1778" s="22" t="n"/>
      <c r="B1778" s="23" t="n"/>
      <c r="C1778" s="24" t="n"/>
      <c r="D1778" s="17" t="n"/>
      <c r="E1778" s="17" t="n"/>
      <c r="F1778" s="17" t="n"/>
      <c r="G1778" s="15" t="n"/>
      <c r="H1778" s="25">
        <f>IF(G1778="","",SUMIF(C$2:C1778,"Masuk",G$2:G1778)-SUMIF(C$2:C1778,"Keluar",G$2:G1778))</f>
        <v/>
      </c>
    </row>
    <row r="1779">
      <c r="A1779" s="26" t="n"/>
      <c r="B1779" s="27" t="n"/>
      <c r="C1779" s="28" t="n"/>
      <c r="D1779" s="29" t="n"/>
      <c r="E1779" s="29" t="n"/>
      <c r="F1779" s="29" t="n"/>
      <c r="G1779" s="30" t="n"/>
      <c r="H1779" s="31">
        <f>IF(G1779="","",SUMIF(C$2:C1779,"Masuk",G$2:G1779)-SUMIF(C$2:C1779,"Keluar",G$2:G1779))</f>
        <v/>
      </c>
    </row>
    <row r="1780">
      <c r="A1780" s="22" t="n"/>
      <c r="B1780" s="23" t="n"/>
      <c r="C1780" s="24" t="n"/>
      <c r="D1780" s="17" t="n"/>
      <c r="E1780" s="17" t="n"/>
      <c r="F1780" s="17" t="n"/>
      <c r="G1780" s="15" t="n"/>
      <c r="H1780" s="25">
        <f>IF(G1780="","",SUMIF(C$2:C1780,"Masuk",G$2:G1780)-SUMIF(C$2:C1780,"Keluar",G$2:G1780))</f>
        <v/>
      </c>
    </row>
    <row r="1781">
      <c r="A1781" s="26" t="n"/>
      <c r="B1781" s="27" t="n"/>
      <c r="C1781" s="28" t="n"/>
      <c r="D1781" s="29" t="n"/>
      <c r="E1781" s="29" t="n"/>
      <c r="F1781" s="29" t="n"/>
      <c r="G1781" s="30" t="n"/>
      <c r="H1781" s="31">
        <f>IF(G1781="","",SUMIF(C$2:C1781,"Masuk",G$2:G1781)-SUMIF(C$2:C1781,"Keluar",G$2:G1781))</f>
        <v/>
      </c>
    </row>
    <row r="1782">
      <c r="A1782" s="22" t="n"/>
      <c r="B1782" s="23" t="n"/>
      <c r="C1782" s="24" t="n"/>
      <c r="D1782" s="17" t="n"/>
      <c r="E1782" s="17" t="n"/>
      <c r="F1782" s="17" t="n"/>
      <c r="G1782" s="15" t="n"/>
      <c r="H1782" s="25">
        <f>IF(G1782="","",SUMIF(C$2:C1782,"Masuk",G$2:G1782)-SUMIF(C$2:C1782,"Keluar",G$2:G1782))</f>
        <v/>
      </c>
    </row>
    <row r="1783">
      <c r="A1783" s="26" t="n"/>
      <c r="B1783" s="27" t="n"/>
      <c r="C1783" s="28" t="n"/>
      <c r="D1783" s="29" t="n"/>
      <c r="E1783" s="29" t="n"/>
      <c r="F1783" s="29" t="n"/>
      <c r="G1783" s="30" t="n"/>
      <c r="H1783" s="31">
        <f>IF(G1783="","",SUMIF(C$2:C1783,"Masuk",G$2:G1783)-SUMIF(C$2:C1783,"Keluar",G$2:G1783))</f>
        <v/>
      </c>
    </row>
    <row r="1784">
      <c r="A1784" s="22" t="n"/>
      <c r="B1784" s="23" t="n"/>
      <c r="C1784" s="24" t="n"/>
      <c r="D1784" s="17" t="n"/>
      <c r="E1784" s="17" t="n"/>
      <c r="F1784" s="17" t="n"/>
      <c r="G1784" s="15" t="n"/>
      <c r="H1784" s="25">
        <f>IF(G1784="","",SUMIF(C$2:C1784,"Masuk",G$2:G1784)-SUMIF(C$2:C1784,"Keluar",G$2:G1784))</f>
        <v/>
      </c>
    </row>
    <row r="1785">
      <c r="A1785" s="26" t="n"/>
      <c r="B1785" s="27" t="n"/>
      <c r="C1785" s="28" t="n"/>
      <c r="D1785" s="29" t="n"/>
      <c r="E1785" s="29" t="n"/>
      <c r="F1785" s="29" t="n"/>
      <c r="G1785" s="30" t="n"/>
      <c r="H1785" s="31">
        <f>IF(G1785="","",SUMIF(C$2:C1785,"Masuk",G$2:G1785)-SUMIF(C$2:C1785,"Keluar",G$2:G1785))</f>
        <v/>
      </c>
    </row>
    <row r="1786">
      <c r="A1786" s="22" t="n"/>
      <c r="B1786" s="23" t="n"/>
      <c r="C1786" s="24" t="n"/>
      <c r="D1786" s="17" t="n"/>
      <c r="E1786" s="17" t="n"/>
      <c r="F1786" s="17" t="n"/>
      <c r="G1786" s="15" t="n"/>
      <c r="H1786" s="25">
        <f>IF(G1786="","",SUMIF(C$2:C1786,"Masuk",G$2:G1786)-SUMIF(C$2:C1786,"Keluar",G$2:G1786))</f>
        <v/>
      </c>
    </row>
    <row r="1787">
      <c r="A1787" s="26" t="n"/>
      <c r="B1787" s="27" t="n"/>
      <c r="C1787" s="28" t="n"/>
      <c r="D1787" s="29" t="n"/>
      <c r="E1787" s="29" t="n"/>
      <c r="F1787" s="29" t="n"/>
      <c r="G1787" s="30" t="n"/>
      <c r="H1787" s="31">
        <f>IF(G1787="","",SUMIF(C$2:C1787,"Masuk",G$2:G1787)-SUMIF(C$2:C1787,"Keluar",G$2:G1787))</f>
        <v/>
      </c>
    </row>
    <row r="1788">
      <c r="A1788" s="22" t="n"/>
      <c r="B1788" s="23" t="n"/>
      <c r="C1788" s="24" t="n"/>
      <c r="D1788" s="17" t="n"/>
      <c r="E1788" s="17" t="n"/>
      <c r="F1788" s="17" t="n"/>
      <c r="G1788" s="15" t="n"/>
      <c r="H1788" s="25">
        <f>IF(G1788="","",SUMIF(C$2:C1788,"Masuk",G$2:G1788)-SUMIF(C$2:C1788,"Keluar",G$2:G1788))</f>
        <v/>
      </c>
    </row>
    <row r="1789">
      <c r="A1789" s="26" t="n"/>
      <c r="B1789" s="27" t="n"/>
      <c r="C1789" s="28" t="n"/>
      <c r="D1789" s="29" t="n"/>
      <c r="E1789" s="29" t="n"/>
      <c r="F1789" s="29" t="n"/>
      <c r="G1789" s="30" t="n"/>
      <c r="H1789" s="31">
        <f>IF(G1789="","",SUMIF(C$2:C1789,"Masuk",G$2:G1789)-SUMIF(C$2:C1789,"Keluar",G$2:G1789))</f>
        <v/>
      </c>
    </row>
    <row r="1790">
      <c r="A1790" s="22" t="n"/>
      <c r="B1790" s="23" t="n"/>
      <c r="C1790" s="24" t="n"/>
      <c r="D1790" s="17" t="n"/>
      <c r="E1790" s="17" t="n"/>
      <c r="F1790" s="17" t="n"/>
      <c r="G1790" s="15" t="n"/>
      <c r="H1790" s="25">
        <f>IF(G1790="","",SUMIF(C$2:C1790,"Masuk",G$2:G1790)-SUMIF(C$2:C1790,"Keluar",G$2:G1790))</f>
        <v/>
      </c>
    </row>
    <row r="1791">
      <c r="A1791" s="26" t="n"/>
      <c r="B1791" s="27" t="n"/>
      <c r="C1791" s="28" t="n"/>
      <c r="D1791" s="29" t="n"/>
      <c r="E1791" s="29" t="n"/>
      <c r="F1791" s="29" t="n"/>
      <c r="G1791" s="30" t="n"/>
      <c r="H1791" s="31">
        <f>IF(G1791="","",SUMIF(C$2:C1791,"Masuk",G$2:G1791)-SUMIF(C$2:C1791,"Keluar",G$2:G1791))</f>
        <v/>
      </c>
    </row>
    <row r="1792">
      <c r="A1792" s="22" t="n"/>
      <c r="B1792" s="23" t="n"/>
      <c r="C1792" s="24" t="n"/>
      <c r="D1792" s="17" t="n"/>
      <c r="E1792" s="17" t="n"/>
      <c r="F1792" s="17" t="n"/>
      <c r="G1792" s="15" t="n"/>
      <c r="H1792" s="25">
        <f>IF(G1792="","",SUMIF(C$2:C1792,"Masuk",G$2:G1792)-SUMIF(C$2:C1792,"Keluar",G$2:G1792))</f>
        <v/>
      </c>
    </row>
    <row r="1793">
      <c r="A1793" s="26" t="n"/>
      <c r="B1793" s="27" t="n"/>
      <c r="C1793" s="28" t="n"/>
      <c r="D1793" s="29" t="n"/>
      <c r="E1793" s="29" t="n"/>
      <c r="F1793" s="29" t="n"/>
      <c r="G1793" s="30" t="n"/>
      <c r="H1793" s="31">
        <f>IF(G1793="","",SUMIF(C$2:C1793,"Masuk",G$2:G1793)-SUMIF(C$2:C1793,"Keluar",G$2:G1793))</f>
        <v/>
      </c>
    </row>
    <row r="1794">
      <c r="A1794" s="22" t="n"/>
      <c r="B1794" s="23" t="n"/>
      <c r="C1794" s="24" t="n"/>
      <c r="D1794" s="17" t="n"/>
      <c r="E1794" s="17" t="n"/>
      <c r="F1794" s="17" t="n"/>
      <c r="G1794" s="15" t="n"/>
      <c r="H1794" s="25">
        <f>IF(G1794="","",SUMIF(C$2:C1794,"Masuk",G$2:G1794)-SUMIF(C$2:C1794,"Keluar",G$2:G1794))</f>
        <v/>
      </c>
    </row>
    <row r="1795">
      <c r="A1795" s="26" t="n"/>
      <c r="B1795" s="27" t="n"/>
      <c r="C1795" s="28" t="n"/>
      <c r="D1795" s="29" t="n"/>
      <c r="E1795" s="29" t="n"/>
      <c r="F1795" s="29" t="n"/>
      <c r="G1795" s="30" t="n"/>
      <c r="H1795" s="31">
        <f>IF(G1795="","",SUMIF(C$2:C1795,"Masuk",G$2:G1795)-SUMIF(C$2:C1795,"Keluar",G$2:G1795))</f>
        <v/>
      </c>
    </row>
    <row r="1796">
      <c r="A1796" s="22" t="n"/>
      <c r="B1796" s="23" t="n"/>
      <c r="C1796" s="24" t="n"/>
      <c r="D1796" s="17" t="n"/>
      <c r="E1796" s="17" t="n"/>
      <c r="F1796" s="17" t="n"/>
      <c r="G1796" s="15" t="n"/>
      <c r="H1796" s="25">
        <f>IF(G1796="","",SUMIF(C$2:C1796,"Masuk",G$2:G1796)-SUMIF(C$2:C1796,"Keluar",G$2:G1796))</f>
        <v/>
      </c>
    </row>
    <row r="1797">
      <c r="A1797" s="26" t="n"/>
      <c r="B1797" s="27" t="n"/>
      <c r="C1797" s="28" t="n"/>
      <c r="D1797" s="29" t="n"/>
      <c r="E1797" s="29" t="n"/>
      <c r="F1797" s="29" t="n"/>
      <c r="G1797" s="30" t="n"/>
      <c r="H1797" s="31">
        <f>IF(G1797="","",SUMIF(C$2:C1797,"Masuk",G$2:G1797)-SUMIF(C$2:C1797,"Keluar",G$2:G1797))</f>
        <v/>
      </c>
    </row>
    <row r="1798">
      <c r="A1798" s="22" t="n"/>
      <c r="B1798" s="23" t="n"/>
      <c r="C1798" s="24" t="n"/>
      <c r="D1798" s="17" t="n"/>
      <c r="E1798" s="17" t="n"/>
      <c r="F1798" s="17" t="n"/>
      <c r="G1798" s="15" t="n"/>
      <c r="H1798" s="25">
        <f>IF(G1798="","",SUMIF(C$2:C1798,"Masuk",G$2:G1798)-SUMIF(C$2:C1798,"Keluar",G$2:G1798))</f>
        <v/>
      </c>
    </row>
    <row r="1799">
      <c r="A1799" s="26" t="n"/>
      <c r="B1799" s="27" t="n"/>
      <c r="C1799" s="28" t="n"/>
      <c r="D1799" s="29" t="n"/>
      <c r="E1799" s="29" t="n"/>
      <c r="F1799" s="29" t="n"/>
      <c r="G1799" s="30" t="n"/>
      <c r="H1799" s="31">
        <f>IF(G1799="","",SUMIF(C$2:C1799,"Masuk",G$2:G1799)-SUMIF(C$2:C1799,"Keluar",G$2:G1799))</f>
        <v/>
      </c>
    </row>
    <row r="1800">
      <c r="A1800" s="22" t="n"/>
      <c r="B1800" s="23" t="n"/>
      <c r="C1800" s="24" t="n"/>
      <c r="D1800" s="17" t="n"/>
      <c r="E1800" s="17" t="n"/>
      <c r="F1800" s="17" t="n"/>
      <c r="G1800" s="15" t="n"/>
      <c r="H1800" s="25">
        <f>IF(G1800="","",SUMIF(C$2:C1800,"Masuk",G$2:G1800)-SUMIF(C$2:C1800,"Keluar",G$2:G1800))</f>
        <v/>
      </c>
    </row>
    <row r="1801">
      <c r="A1801" s="26" t="n"/>
      <c r="B1801" s="27" t="n"/>
      <c r="C1801" s="28" t="n"/>
      <c r="D1801" s="29" t="n"/>
      <c r="E1801" s="29" t="n"/>
      <c r="F1801" s="29" t="n"/>
      <c r="G1801" s="30" t="n"/>
      <c r="H1801" s="31">
        <f>IF(G1801="","",SUMIF(C$2:C1801,"Masuk",G$2:G1801)-SUMIF(C$2:C1801,"Keluar",G$2:G1801))</f>
        <v/>
      </c>
    </row>
    <row r="1802">
      <c r="A1802" s="22" t="n"/>
      <c r="B1802" s="23" t="n"/>
      <c r="C1802" s="24" t="n"/>
      <c r="D1802" s="17" t="n"/>
      <c r="E1802" s="17" t="n"/>
      <c r="F1802" s="17" t="n"/>
      <c r="G1802" s="15" t="n"/>
      <c r="H1802" s="25">
        <f>IF(G1802="","",SUMIF(C$2:C1802,"Masuk",G$2:G1802)-SUMIF(C$2:C1802,"Keluar",G$2:G1802))</f>
        <v/>
      </c>
    </row>
    <row r="1803">
      <c r="A1803" s="26" t="n"/>
      <c r="B1803" s="27" t="n"/>
      <c r="C1803" s="28" t="n"/>
      <c r="D1803" s="29" t="n"/>
      <c r="E1803" s="29" t="n"/>
      <c r="F1803" s="29" t="n"/>
      <c r="G1803" s="30" t="n"/>
      <c r="H1803" s="31">
        <f>IF(G1803="","",SUMIF(C$2:C1803,"Masuk",G$2:G1803)-SUMIF(C$2:C1803,"Keluar",G$2:G1803))</f>
        <v/>
      </c>
    </row>
    <row r="1804">
      <c r="A1804" s="22" t="n"/>
      <c r="B1804" s="23" t="n"/>
      <c r="C1804" s="24" t="n"/>
      <c r="D1804" s="17" t="n"/>
      <c r="E1804" s="17" t="n"/>
      <c r="F1804" s="17" t="n"/>
      <c r="G1804" s="15" t="n"/>
      <c r="H1804" s="25">
        <f>IF(G1804="","",SUMIF(C$2:C1804,"Masuk",G$2:G1804)-SUMIF(C$2:C1804,"Keluar",G$2:G1804))</f>
        <v/>
      </c>
    </row>
    <row r="1805">
      <c r="A1805" s="26" t="n"/>
      <c r="B1805" s="27" t="n"/>
      <c r="C1805" s="28" t="n"/>
      <c r="D1805" s="29" t="n"/>
      <c r="E1805" s="29" t="n"/>
      <c r="F1805" s="29" t="n"/>
      <c r="G1805" s="30" t="n"/>
      <c r="H1805" s="31">
        <f>IF(G1805="","",SUMIF(C$2:C1805,"Masuk",G$2:G1805)-SUMIF(C$2:C1805,"Keluar",G$2:G1805))</f>
        <v/>
      </c>
    </row>
    <row r="1806">
      <c r="A1806" s="22" t="n"/>
      <c r="B1806" s="23" t="n"/>
      <c r="C1806" s="24" t="n"/>
      <c r="D1806" s="17" t="n"/>
      <c r="E1806" s="17" t="n"/>
      <c r="F1806" s="17" t="n"/>
      <c r="G1806" s="15" t="n"/>
      <c r="H1806" s="25">
        <f>IF(G1806="","",SUMIF(C$2:C1806,"Masuk",G$2:G1806)-SUMIF(C$2:C1806,"Keluar",G$2:G1806))</f>
        <v/>
      </c>
    </row>
    <row r="1807">
      <c r="A1807" s="26" t="n"/>
      <c r="B1807" s="27" t="n"/>
      <c r="C1807" s="28" t="n"/>
      <c r="D1807" s="29" t="n"/>
      <c r="E1807" s="29" t="n"/>
      <c r="F1807" s="29" t="n"/>
      <c r="G1807" s="30" t="n"/>
      <c r="H1807" s="31">
        <f>IF(G1807="","",SUMIF(C$2:C1807,"Masuk",G$2:G1807)-SUMIF(C$2:C1807,"Keluar",G$2:G1807))</f>
        <v/>
      </c>
    </row>
    <row r="1808">
      <c r="A1808" s="22" t="n"/>
      <c r="B1808" s="23" t="n"/>
      <c r="C1808" s="24" t="n"/>
      <c r="D1808" s="17" t="n"/>
      <c r="E1808" s="17" t="n"/>
      <c r="F1808" s="17" t="n"/>
      <c r="G1808" s="15" t="n"/>
      <c r="H1808" s="25">
        <f>IF(G1808="","",SUMIF(C$2:C1808,"Masuk",G$2:G1808)-SUMIF(C$2:C1808,"Keluar",G$2:G1808))</f>
        <v/>
      </c>
    </row>
    <row r="1809">
      <c r="A1809" s="26" t="n"/>
      <c r="B1809" s="27" t="n"/>
      <c r="C1809" s="28" t="n"/>
      <c r="D1809" s="29" t="n"/>
      <c r="E1809" s="29" t="n"/>
      <c r="F1809" s="29" t="n"/>
      <c r="G1809" s="30" t="n"/>
      <c r="H1809" s="31">
        <f>IF(G1809="","",SUMIF(C$2:C1809,"Masuk",G$2:G1809)-SUMIF(C$2:C1809,"Keluar",G$2:G1809))</f>
        <v/>
      </c>
    </row>
    <row r="1810">
      <c r="A1810" s="22" t="n"/>
      <c r="B1810" s="23" t="n"/>
      <c r="C1810" s="24" t="n"/>
      <c r="D1810" s="17" t="n"/>
      <c r="E1810" s="17" t="n"/>
      <c r="F1810" s="17" t="n"/>
      <c r="G1810" s="15" t="n"/>
      <c r="H1810" s="25">
        <f>IF(G1810="","",SUMIF(C$2:C1810,"Masuk",G$2:G1810)-SUMIF(C$2:C1810,"Keluar",G$2:G1810))</f>
        <v/>
      </c>
    </row>
    <row r="1811">
      <c r="A1811" s="26" t="n"/>
      <c r="B1811" s="27" t="n"/>
      <c r="C1811" s="28" t="n"/>
      <c r="D1811" s="29" t="n"/>
      <c r="E1811" s="29" t="n"/>
      <c r="F1811" s="29" t="n"/>
      <c r="G1811" s="30" t="n"/>
      <c r="H1811" s="31">
        <f>IF(G1811="","",SUMIF(C$2:C1811,"Masuk",G$2:G1811)-SUMIF(C$2:C1811,"Keluar",G$2:G1811))</f>
        <v/>
      </c>
    </row>
    <row r="1812">
      <c r="A1812" s="22" t="n"/>
      <c r="B1812" s="23" t="n"/>
      <c r="C1812" s="24" t="n"/>
      <c r="D1812" s="17" t="n"/>
      <c r="E1812" s="17" t="n"/>
      <c r="F1812" s="17" t="n"/>
      <c r="G1812" s="15" t="n"/>
      <c r="H1812" s="25">
        <f>IF(G1812="","",SUMIF(C$2:C1812,"Masuk",G$2:G1812)-SUMIF(C$2:C1812,"Keluar",G$2:G1812))</f>
        <v/>
      </c>
    </row>
    <row r="1813">
      <c r="A1813" s="26" t="n"/>
      <c r="B1813" s="27" t="n"/>
      <c r="C1813" s="28" t="n"/>
      <c r="D1813" s="29" t="n"/>
      <c r="E1813" s="29" t="n"/>
      <c r="F1813" s="29" t="n"/>
      <c r="G1813" s="30" t="n"/>
      <c r="H1813" s="31">
        <f>IF(G1813="","",SUMIF(C$2:C1813,"Masuk",G$2:G1813)-SUMIF(C$2:C1813,"Keluar",G$2:G1813))</f>
        <v/>
      </c>
    </row>
    <row r="1814">
      <c r="A1814" s="22" t="n"/>
      <c r="B1814" s="23" t="n"/>
      <c r="C1814" s="24" t="n"/>
      <c r="D1814" s="17" t="n"/>
      <c r="E1814" s="17" t="n"/>
      <c r="F1814" s="17" t="n"/>
      <c r="G1814" s="15" t="n"/>
      <c r="H1814" s="25">
        <f>IF(G1814="","",SUMIF(C$2:C1814,"Masuk",G$2:G1814)-SUMIF(C$2:C1814,"Keluar",G$2:G1814))</f>
        <v/>
      </c>
    </row>
    <row r="1815">
      <c r="A1815" s="26" t="n"/>
      <c r="B1815" s="27" t="n"/>
      <c r="C1815" s="28" t="n"/>
      <c r="D1815" s="29" t="n"/>
      <c r="E1815" s="29" t="n"/>
      <c r="F1815" s="29" t="n"/>
      <c r="G1815" s="30" t="n"/>
      <c r="H1815" s="31">
        <f>IF(G1815="","",SUMIF(C$2:C1815,"Masuk",G$2:G1815)-SUMIF(C$2:C1815,"Keluar",G$2:G1815))</f>
        <v/>
      </c>
    </row>
    <row r="1816">
      <c r="A1816" s="22" t="n"/>
      <c r="B1816" s="23" t="n"/>
      <c r="C1816" s="24" t="n"/>
      <c r="D1816" s="17" t="n"/>
      <c r="E1816" s="17" t="n"/>
      <c r="F1816" s="17" t="n"/>
      <c r="G1816" s="15" t="n"/>
      <c r="H1816" s="25">
        <f>IF(G1816="","",SUMIF(C$2:C1816,"Masuk",G$2:G1816)-SUMIF(C$2:C1816,"Keluar",G$2:G1816))</f>
        <v/>
      </c>
    </row>
    <row r="1817">
      <c r="A1817" s="26" t="n"/>
      <c r="B1817" s="27" t="n"/>
      <c r="C1817" s="28" t="n"/>
      <c r="D1817" s="29" t="n"/>
      <c r="E1817" s="29" t="n"/>
      <c r="F1817" s="29" t="n"/>
      <c r="G1817" s="30" t="n"/>
      <c r="H1817" s="31">
        <f>IF(G1817="","",SUMIF(C$2:C1817,"Masuk",G$2:G1817)-SUMIF(C$2:C1817,"Keluar",G$2:G1817))</f>
        <v/>
      </c>
    </row>
    <row r="1818">
      <c r="A1818" s="22" t="n"/>
      <c r="B1818" s="23" t="n"/>
      <c r="C1818" s="24" t="n"/>
      <c r="D1818" s="17" t="n"/>
      <c r="E1818" s="17" t="n"/>
      <c r="F1818" s="17" t="n"/>
      <c r="G1818" s="15" t="n"/>
      <c r="H1818" s="25">
        <f>IF(G1818="","",SUMIF(C$2:C1818,"Masuk",G$2:G1818)-SUMIF(C$2:C1818,"Keluar",G$2:G1818))</f>
        <v/>
      </c>
    </row>
    <row r="1819">
      <c r="A1819" s="26" t="n"/>
      <c r="B1819" s="27" t="n"/>
      <c r="C1819" s="28" t="n"/>
      <c r="D1819" s="29" t="n"/>
      <c r="E1819" s="29" t="n"/>
      <c r="F1819" s="29" t="n"/>
      <c r="G1819" s="30" t="n"/>
      <c r="H1819" s="31">
        <f>IF(G1819="","",SUMIF(C$2:C1819,"Masuk",G$2:G1819)-SUMIF(C$2:C1819,"Keluar",G$2:G1819))</f>
        <v/>
      </c>
    </row>
    <row r="1820">
      <c r="A1820" s="22" t="n"/>
      <c r="B1820" s="23" t="n"/>
      <c r="C1820" s="24" t="n"/>
      <c r="D1820" s="17" t="n"/>
      <c r="E1820" s="17" t="n"/>
      <c r="F1820" s="17" t="n"/>
      <c r="G1820" s="15" t="n"/>
      <c r="H1820" s="25">
        <f>IF(G1820="","",SUMIF(C$2:C1820,"Masuk",G$2:G1820)-SUMIF(C$2:C1820,"Keluar",G$2:G1820))</f>
        <v/>
      </c>
    </row>
    <row r="1821">
      <c r="A1821" s="26" t="n"/>
      <c r="B1821" s="27" t="n"/>
      <c r="C1821" s="28" t="n"/>
      <c r="D1821" s="29" t="n"/>
      <c r="E1821" s="29" t="n"/>
      <c r="F1821" s="29" t="n"/>
      <c r="G1821" s="30" t="n"/>
      <c r="H1821" s="31">
        <f>IF(G1821="","",SUMIF(C$2:C1821,"Masuk",G$2:G1821)-SUMIF(C$2:C1821,"Keluar",G$2:G1821))</f>
        <v/>
      </c>
    </row>
    <row r="1822">
      <c r="A1822" s="22" t="n"/>
      <c r="B1822" s="23" t="n"/>
      <c r="C1822" s="24" t="n"/>
      <c r="D1822" s="17" t="n"/>
      <c r="E1822" s="17" t="n"/>
      <c r="F1822" s="17" t="n"/>
      <c r="G1822" s="15" t="n"/>
      <c r="H1822" s="25">
        <f>IF(G1822="","",SUMIF(C$2:C1822,"Masuk",G$2:G1822)-SUMIF(C$2:C1822,"Keluar",G$2:G1822))</f>
        <v/>
      </c>
    </row>
    <row r="1823">
      <c r="A1823" s="26" t="n"/>
      <c r="B1823" s="27" t="n"/>
      <c r="C1823" s="28" t="n"/>
      <c r="D1823" s="29" t="n"/>
      <c r="E1823" s="29" t="n"/>
      <c r="F1823" s="29" t="n"/>
      <c r="G1823" s="30" t="n"/>
      <c r="H1823" s="31">
        <f>IF(G1823="","",SUMIF(C$2:C1823,"Masuk",G$2:G1823)-SUMIF(C$2:C1823,"Keluar",G$2:G1823))</f>
        <v/>
      </c>
    </row>
    <row r="1824">
      <c r="A1824" s="22" t="n"/>
      <c r="B1824" s="23" t="n"/>
      <c r="C1824" s="24" t="n"/>
      <c r="D1824" s="17" t="n"/>
      <c r="E1824" s="17" t="n"/>
      <c r="F1824" s="17" t="n"/>
      <c r="G1824" s="15" t="n"/>
      <c r="H1824" s="25">
        <f>IF(G1824="","",SUMIF(C$2:C1824,"Masuk",G$2:G1824)-SUMIF(C$2:C1824,"Keluar",G$2:G1824))</f>
        <v/>
      </c>
    </row>
    <row r="1825">
      <c r="A1825" s="26" t="n"/>
      <c r="B1825" s="27" t="n"/>
      <c r="C1825" s="28" t="n"/>
      <c r="D1825" s="29" t="n"/>
      <c r="E1825" s="29" t="n"/>
      <c r="F1825" s="29" t="n"/>
      <c r="G1825" s="30" t="n"/>
      <c r="H1825" s="31">
        <f>IF(G1825="","",SUMIF(C$2:C1825,"Masuk",G$2:G1825)-SUMIF(C$2:C1825,"Keluar",G$2:G1825))</f>
        <v/>
      </c>
    </row>
    <row r="1826">
      <c r="A1826" s="22" t="n"/>
      <c r="B1826" s="23" t="n"/>
      <c r="C1826" s="24" t="n"/>
      <c r="D1826" s="17" t="n"/>
      <c r="E1826" s="17" t="n"/>
      <c r="F1826" s="17" t="n"/>
      <c r="G1826" s="15" t="n"/>
      <c r="H1826" s="25">
        <f>IF(G1826="","",SUMIF(C$2:C1826,"Masuk",G$2:G1826)-SUMIF(C$2:C1826,"Keluar",G$2:G1826))</f>
        <v/>
      </c>
    </row>
    <row r="1827">
      <c r="A1827" s="26" t="n"/>
      <c r="B1827" s="27" t="n"/>
      <c r="C1827" s="28" t="n"/>
      <c r="D1827" s="29" t="n"/>
      <c r="E1827" s="29" t="n"/>
      <c r="F1827" s="29" t="n"/>
      <c r="G1827" s="30" t="n"/>
      <c r="H1827" s="31">
        <f>IF(G1827="","",SUMIF(C$2:C1827,"Masuk",G$2:G1827)-SUMIF(C$2:C1827,"Keluar",G$2:G1827))</f>
        <v/>
      </c>
    </row>
    <row r="1828">
      <c r="A1828" s="22" t="n"/>
      <c r="B1828" s="23" t="n"/>
      <c r="C1828" s="24" t="n"/>
      <c r="D1828" s="17" t="n"/>
      <c r="E1828" s="17" t="n"/>
      <c r="F1828" s="17" t="n"/>
      <c r="G1828" s="15" t="n"/>
      <c r="H1828" s="25">
        <f>IF(G1828="","",SUMIF(C$2:C1828,"Masuk",G$2:G1828)-SUMIF(C$2:C1828,"Keluar",G$2:G1828))</f>
        <v/>
      </c>
    </row>
    <row r="1829">
      <c r="A1829" s="26" t="n"/>
      <c r="B1829" s="27" t="n"/>
      <c r="C1829" s="28" t="n"/>
      <c r="D1829" s="29" t="n"/>
      <c r="E1829" s="29" t="n"/>
      <c r="F1829" s="29" t="n"/>
      <c r="G1829" s="30" t="n"/>
      <c r="H1829" s="31">
        <f>IF(G1829="","",SUMIF(C$2:C1829,"Masuk",G$2:G1829)-SUMIF(C$2:C1829,"Keluar",G$2:G1829))</f>
        <v/>
      </c>
    </row>
    <row r="1830">
      <c r="A1830" s="22" t="n"/>
      <c r="B1830" s="23" t="n"/>
      <c r="C1830" s="24" t="n"/>
      <c r="D1830" s="17" t="n"/>
      <c r="E1830" s="17" t="n"/>
      <c r="F1830" s="17" t="n"/>
      <c r="G1830" s="15" t="n"/>
      <c r="H1830" s="25">
        <f>IF(G1830="","",SUMIF(C$2:C1830,"Masuk",G$2:G1830)-SUMIF(C$2:C1830,"Keluar",G$2:G1830))</f>
        <v/>
      </c>
    </row>
    <row r="1831">
      <c r="A1831" s="26" t="n"/>
      <c r="B1831" s="27" t="n"/>
      <c r="C1831" s="28" t="n"/>
      <c r="D1831" s="29" t="n"/>
      <c r="E1831" s="29" t="n"/>
      <c r="F1831" s="29" t="n"/>
      <c r="G1831" s="30" t="n"/>
      <c r="H1831" s="31">
        <f>IF(G1831="","",SUMIF(C$2:C1831,"Masuk",G$2:G1831)-SUMIF(C$2:C1831,"Keluar",G$2:G1831))</f>
        <v/>
      </c>
    </row>
    <row r="1832">
      <c r="A1832" s="22" t="n"/>
      <c r="B1832" s="23" t="n"/>
      <c r="C1832" s="24" t="n"/>
      <c r="D1832" s="17" t="n"/>
      <c r="E1832" s="17" t="n"/>
      <c r="F1832" s="17" t="n"/>
      <c r="G1832" s="15" t="n"/>
      <c r="H1832" s="25">
        <f>IF(G1832="","",SUMIF(C$2:C1832,"Masuk",G$2:G1832)-SUMIF(C$2:C1832,"Keluar",G$2:G1832))</f>
        <v/>
      </c>
    </row>
    <row r="1833">
      <c r="A1833" s="26" t="n"/>
      <c r="B1833" s="27" t="n"/>
      <c r="C1833" s="28" t="n"/>
      <c r="D1833" s="29" t="n"/>
      <c r="E1833" s="29" t="n"/>
      <c r="F1833" s="29" t="n"/>
      <c r="G1833" s="30" t="n"/>
      <c r="H1833" s="31">
        <f>IF(G1833="","",SUMIF(C$2:C1833,"Masuk",G$2:G1833)-SUMIF(C$2:C1833,"Keluar",G$2:G1833))</f>
        <v/>
      </c>
    </row>
    <row r="1834">
      <c r="A1834" s="22" t="n"/>
      <c r="B1834" s="23" t="n"/>
      <c r="C1834" s="24" t="n"/>
      <c r="D1834" s="17" t="n"/>
      <c r="E1834" s="17" t="n"/>
      <c r="F1834" s="17" t="n"/>
      <c r="G1834" s="15" t="n"/>
      <c r="H1834" s="25">
        <f>IF(G1834="","",SUMIF(C$2:C1834,"Masuk",G$2:G1834)-SUMIF(C$2:C1834,"Keluar",G$2:G1834))</f>
        <v/>
      </c>
    </row>
    <row r="1835">
      <c r="A1835" s="26" t="n"/>
      <c r="B1835" s="27" t="n"/>
      <c r="C1835" s="28" t="n"/>
      <c r="D1835" s="29" t="n"/>
      <c r="E1835" s="29" t="n"/>
      <c r="F1835" s="29" t="n"/>
      <c r="G1835" s="30" t="n"/>
      <c r="H1835" s="31">
        <f>IF(G1835="","",SUMIF(C$2:C1835,"Masuk",G$2:G1835)-SUMIF(C$2:C1835,"Keluar",G$2:G1835))</f>
        <v/>
      </c>
    </row>
    <row r="1836">
      <c r="A1836" s="22" t="n"/>
      <c r="B1836" s="23" t="n"/>
      <c r="C1836" s="24" t="n"/>
      <c r="D1836" s="17" t="n"/>
      <c r="E1836" s="17" t="n"/>
      <c r="F1836" s="17" t="n"/>
      <c r="G1836" s="15" t="n"/>
      <c r="H1836" s="25">
        <f>IF(G1836="","",SUMIF(C$2:C1836,"Masuk",G$2:G1836)-SUMIF(C$2:C1836,"Keluar",G$2:G1836))</f>
        <v/>
      </c>
    </row>
    <row r="1837">
      <c r="A1837" s="26" t="n"/>
      <c r="B1837" s="27" t="n"/>
      <c r="C1837" s="28" t="n"/>
      <c r="D1837" s="29" t="n"/>
      <c r="E1837" s="29" t="n"/>
      <c r="F1837" s="29" t="n"/>
      <c r="G1837" s="30" t="n"/>
      <c r="H1837" s="31">
        <f>IF(G1837="","",SUMIF(C$2:C1837,"Masuk",G$2:G1837)-SUMIF(C$2:C1837,"Keluar",G$2:G1837))</f>
        <v/>
      </c>
    </row>
    <row r="1838">
      <c r="A1838" s="22" t="n"/>
      <c r="B1838" s="23" t="n"/>
      <c r="C1838" s="24" t="n"/>
      <c r="D1838" s="17" t="n"/>
      <c r="E1838" s="17" t="n"/>
      <c r="F1838" s="17" t="n"/>
      <c r="G1838" s="15" t="n"/>
      <c r="H1838" s="25">
        <f>IF(G1838="","",SUMIF(C$2:C1838,"Masuk",G$2:G1838)-SUMIF(C$2:C1838,"Keluar",G$2:G1838))</f>
        <v/>
      </c>
    </row>
    <row r="1839">
      <c r="A1839" s="26" t="n"/>
      <c r="B1839" s="27" t="n"/>
      <c r="C1839" s="28" t="n"/>
      <c r="D1839" s="29" t="n"/>
      <c r="E1839" s="29" t="n"/>
      <c r="F1839" s="29" t="n"/>
      <c r="G1839" s="30" t="n"/>
      <c r="H1839" s="31">
        <f>IF(G1839="","",SUMIF(C$2:C1839,"Masuk",G$2:G1839)-SUMIF(C$2:C1839,"Keluar",G$2:G1839))</f>
        <v/>
      </c>
    </row>
    <row r="1840">
      <c r="A1840" s="22" t="n"/>
      <c r="B1840" s="23" t="n"/>
      <c r="C1840" s="24" t="n"/>
      <c r="D1840" s="17" t="n"/>
      <c r="E1840" s="17" t="n"/>
      <c r="F1840" s="17" t="n"/>
      <c r="G1840" s="15" t="n"/>
      <c r="H1840" s="25">
        <f>IF(G1840="","",SUMIF(C$2:C1840,"Masuk",G$2:G1840)-SUMIF(C$2:C1840,"Keluar",G$2:G1840))</f>
        <v/>
      </c>
    </row>
    <row r="1841">
      <c r="A1841" s="26" t="n"/>
      <c r="B1841" s="27" t="n"/>
      <c r="C1841" s="28" t="n"/>
      <c r="D1841" s="29" t="n"/>
      <c r="E1841" s="29" t="n"/>
      <c r="F1841" s="29" t="n"/>
      <c r="G1841" s="30" t="n"/>
      <c r="H1841" s="31">
        <f>IF(G1841="","",SUMIF(C$2:C1841,"Masuk",G$2:G1841)-SUMIF(C$2:C1841,"Keluar",G$2:G1841))</f>
        <v/>
      </c>
    </row>
    <row r="1842">
      <c r="A1842" s="22" t="n"/>
      <c r="B1842" s="23" t="n"/>
      <c r="C1842" s="24" t="n"/>
      <c r="D1842" s="17" t="n"/>
      <c r="E1842" s="17" t="n"/>
      <c r="F1842" s="17" t="n"/>
      <c r="G1842" s="15" t="n"/>
      <c r="H1842" s="25">
        <f>IF(G1842="","",SUMIF(C$2:C1842,"Masuk",G$2:G1842)-SUMIF(C$2:C1842,"Keluar",G$2:G1842))</f>
        <v/>
      </c>
    </row>
    <row r="1843">
      <c r="A1843" s="26" t="n"/>
      <c r="B1843" s="27" t="n"/>
      <c r="C1843" s="28" t="n"/>
      <c r="D1843" s="29" t="n"/>
      <c r="E1843" s="29" t="n"/>
      <c r="F1843" s="29" t="n"/>
      <c r="G1843" s="30" t="n"/>
      <c r="H1843" s="31">
        <f>IF(G1843="","",SUMIF(C$2:C1843,"Masuk",G$2:G1843)-SUMIF(C$2:C1843,"Keluar",G$2:G1843))</f>
        <v/>
      </c>
    </row>
    <row r="1844">
      <c r="A1844" s="22" t="n"/>
      <c r="B1844" s="23" t="n"/>
      <c r="C1844" s="24" t="n"/>
      <c r="D1844" s="17" t="n"/>
      <c r="E1844" s="17" t="n"/>
      <c r="F1844" s="17" t="n"/>
      <c r="G1844" s="15" t="n"/>
      <c r="H1844" s="25">
        <f>IF(G1844="","",SUMIF(C$2:C1844,"Masuk",G$2:G1844)-SUMIF(C$2:C1844,"Keluar",G$2:G1844))</f>
        <v/>
      </c>
    </row>
    <row r="1845">
      <c r="A1845" s="26" t="n"/>
      <c r="B1845" s="27" t="n"/>
      <c r="C1845" s="28" t="n"/>
      <c r="D1845" s="29" t="n"/>
      <c r="E1845" s="29" t="n"/>
      <c r="F1845" s="29" t="n"/>
      <c r="G1845" s="30" t="n"/>
      <c r="H1845" s="31">
        <f>IF(G1845="","",SUMIF(C$2:C1845,"Masuk",G$2:G1845)-SUMIF(C$2:C1845,"Keluar",G$2:G1845))</f>
        <v/>
      </c>
    </row>
    <row r="1846">
      <c r="A1846" s="22" t="n"/>
      <c r="B1846" s="23" t="n"/>
      <c r="C1846" s="24" t="n"/>
      <c r="D1846" s="17" t="n"/>
      <c r="E1846" s="17" t="n"/>
      <c r="F1846" s="17" t="n"/>
      <c r="G1846" s="15" t="n"/>
      <c r="H1846" s="25">
        <f>IF(G1846="","",SUMIF(C$2:C1846,"Masuk",G$2:G1846)-SUMIF(C$2:C1846,"Keluar",G$2:G1846))</f>
        <v/>
      </c>
    </row>
    <row r="1847">
      <c r="A1847" s="26" t="n"/>
      <c r="B1847" s="27" t="n"/>
      <c r="C1847" s="28" t="n"/>
      <c r="D1847" s="29" t="n"/>
      <c r="E1847" s="29" t="n"/>
      <c r="F1847" s="29" t="n"/>
      <c r="G1847" s="30" t="n"/>
      <c r="H1847" s="31">
        <f>IF(G1847="","",SUMIF(C$2:C1847,"Masuk",G$2:G1847)-SUMIF(C$2:C1847,"Keluar",G$2:G1847))</f>
        <v/>
      </c>
    </row>
    <row r="1848">
      <c r="A1848" s="22" t="n"/>
      <c r="B1848" s="23" t="n"/>
      <c r="C1848" s="24" t="n"/>
      <c r="D1848" s="17" t="n"/>
      <c r="E1848" s="17" t="n"/>
      <c r="F1848" s="17" t="n"/>
      <c r="G1848" s="15" t="n"/>
      <c r="H1848" s="25">
        <f>IF(G1848="","",SUMIF(C$2:C1848,"Masuk",G$2:G1848)-SUMIF(C$2:C1848,"Keluar",G$2:G1848))</f>
        <v/>
      </c>
    </row>
    <row r="1849">
      <c r="A1849" s="26" t="n"/>
      <c r="B1849" s="27" t="n"/>
      <c r="C1849" s="28" t="n"/>
      <c r="D1849" s="29" t="n"/>
      <c r="E1849" s="29" t="n"/>
      <c r="F1849" s="29" t="n"/>
      <c r="G1849" s="30" t="n"/>
      <c r="H1849" s="31">
        <f>IF(G1849="","",SUMIF(C$2:C1849,"Masuk",G$2:G1849)-SUMIF(C$2:C1849,"Keluar",G$2:G1849))</f>
        <v/>
      </c>
    </row>
    <row r="1850">
      <c r="A1850" s="22" t="n"/>
      <c r="B1850" s="23" t="n"/>
      <c r="C1850" s="24" t="n"/>
      <c r="D1850" s="17" t="n"/>
      <c r="E1850" s="17" t="n"/>
      <c r="F1850" s="17" t="n"/>
      <c r="G1850" s="15" t="n"/>
      <c r="H1850" s="25">
        <f>IF(G1850="","",SUMIF(C$2:C1850,"Masuk",G$2:G1850)-SUMIF(C$2:C1850,"Keluar",G$2:G1850))</f>
        <v/>
      </c>
    </row>
    <row r="1851">
      <c r="A1851" s="26" t="n"/>
      <c r="B1851" s="27" t="n"/>
      <c r="C1851" s="28" t="n"/>
      <c r="D1851" s="29" t="n"/>
      <c r="E1851" s="29" t="n"/>
      <c r="F1851" s="29" t="n"/>
      <c r="G1851" s="30" t="n"/>
      <c r="H1851" s="31">
        <f>IF(G1851="","",SUMIF(C$2:C1851,"Masuk",G$2:G1851)-SUMIF(C$2:C1851,"Keluar",G$2:G1851))</f>
        <v/>
      </c>
    </row>
    <row r="1852">
      <c r="A1852" s="22" t="n"/>
      <c r="B1852" s="23" t="n"/>
      <c r="C1852" s="24" t="n"/>
      <c r="D1852" s="17" t="n"/>
      <c r="E1852" s="17" t="n"/>
      <c r="F1852" s="17" t="n"/>
      <c r="G1852" s="15" t="n"/>
      <c r="H1852" s="25">
        <f>IF(G1852="","",SUMIF(C$2:C1852,"Masuk",G$2:G1852)-SUMIF(C$2:C1852,"Keluar",G$2:G1852))</f>
        <v/>
      </c>
    </row>
    <row r="1853">
      <c r="A1853" s="26" t="n"/>
      <c r="B1853" s="27" t="n"/>
      <c r="C1853" s="28" t="n"/>
      <c r="D1853" s="29" t="n"/>
      <c r="E1853" s="29" t="n"/>
      <c r="F1853" s="29" t="n"/>
      <c r="G1853" s="30" t="n"/>
      <c r="H1853" s="31">
        <f>IF(G1853="","",SUMIF(C$2:C1853,"Masuk",G$2:G1853)-SUMIF(C$2:C1853,"Keluar",G$2:G1853))</f>
        <v/>
      </c>
    </row>
    <row r="1854">
      <c r="A1854" s="22" t="n"/>
      <c r="B1854" s="23" t="n"/>
      <c r="C1854" s="24" t="n"/>
      <c r="D1854" s="17" t="n"/>
      <c r="E1854" s="17" t="n"/>
      <c r="F1854" s="17" t="n"/>
      <c r="G1854" s="15" t="n"/>
      <c r="H1854" s="25">
        <f>IF(G1854="","",SUMIF(C$2:C1854,"Masuk",G$2:G1854)-SUMIF(C$2:C1854,"Keluar",G$2:G1854))</f>
        <v/>
      </c>
    </row>
    <row r="1855">
      <c r="A1855" s="26" t="n"/>
      <c r="B1855" s="27" t="n"/>
      <c r="C1855" s="28" t="n"/>
      <c r="D1855" s="29" t="n"/>
      <c r="E1855" s="29" t="n"/>
      <c r="F1855" s="29" t="n"/>
      <c r="G1855" s="30" t="n"/>
      <c r="H1855" s="31">
        <f>IF(G1855="","",SUMIF(C$2:C1855,"Masuk",G$2:G1855)-SUMIF(C$2:C1855,"Keluar",G$2:G1855))</f>
        <v/>
      </c>
    </row>
    <row r="1856">
      <c r="A1856" s="22" t="n"/>
      <c r="B1856" s="23" t="n"/>
      <c r="C1856" s="24" t="n"/>
      <c r="D1856" s="17" t="n"/>
      <c r="E1856" s="17" t="n"/>
      <c r="F1856" s="17" t="n"/>
      <c r="G1856" s="15" t="n"/>
      <c r="H1856" s="25">
        <f>IF(G1856="","",SUMIF(C$2:C1856,"Masuk",G$2:G1856)-SUMIF(C$2:C1856,"Keluar",G$2:G1856))</f>
        <v/>
      </c>
    </row>
    <row r="1857">
      <c r="A1857" s="26" t="n"/>
      <c r="B1857" s="27" t="n"/>
      <c r="C1857" s="28" t="n"/>
      <c r="D1857" s="29" t="n"/>
      <c r="E1857" s="29" t="n"/>
      <c r="F1857" s="29" t="n"/>
      <c r="G1857" s="30" t="n"/>
      <c r="H1857" s="31">
        <f>IF(G1857="","",SUMIF(C$2:C1857,"Masuk",G$2:G1857)-SUMIF(C$2:C1857,"Keluar",G$2:G1857))</f>
        <v/>
      </c>
    </row>
    <row r="1858">
      <c r="A1858" s="22" t="n"/>
      <c r="B1858" s="23" t="n"/>
      <c r="C1858" s="24" t="n"/>
      <c r="D1858" s="17" t="n"/>
      <c r="E1858" s="17" t="n"/>
      <c r="F1858" s="17" t="n"/>
      <c r="G1858" s="15" t="n"/>
      <c r="H1858" s="25">
        <f>IF(G1858="","",SUMIF(C$2:C1858,"Masuk",G$2:G1858)-SUMIF(C$2:C1858,"Keluar",G$2:G1858))</f>
        <v/>
      </c>
    </row>
    <row r="1859">
      <c r="A1859" s="26" t="n"/>
      <c r="B1859" s="27" t="n"/>
      <c r="C1859" s="28" t="n"/>
      <c r="D1859" s="29" t="n"/>
      <c r="E1859" s="29" t="n"/>
      <c r="F1859" s="29" t="n"/>
      <c r="G1859" s="30" t="n"/>
      <c r="H1859" s="31">
        <f>IF(G1859="","",SUMIF(C$2:C1859,"Masuk",G$2:G1859)-SUMIF(C$2:C1859,"Keluar",G$2:G1859))</f>
        <v/>
      </c>
    </row>
    <row r="1860">
      <c r="A1860" s="22" t="n"/>
      <c r="B1860" s="23" t="n"/>
      <c r="C1860" s="24" t="n"/>
      <c r="D1860" s="17" t="n"/>
      <c r="E1860" s="17" t="n"/>
      <c r="F1860" s="17" t="n"/>
      <c r="G1860" s="15" t="n"/>
      <c r="H1860" s="25">
        <f>IF(G1860="","",SUMIF(C$2:C1860,"Masuk",G$2:G1860)-SUMIF(C$2:C1860,"Keluar",G$2:G1860))</f>
        <v/>
      </c>
    </row>
    <row r="1861">
      <c r="A1861" s="26" t="n"/>
      <c r="B1861" s="27" t="n"/>
      <c r="C1861" s="28" t="n"/>
      <c r="D1861" s="29" t="n"/>
      <c r="E1861" s="29" t="n"/>
      <c r="F1861" s="29" t="n"/>
      <c r="G1861" s="30" t="n"/>
      <c r="H1861" s="31">
        <f>IF(G1861="","",SUMIF(C$2:C1861,"Masuk",G$2:G1861)-SUMIF(C$2:C1861,"Keluar",G$2:G1861))</f>
        <v/>
      </c>
    </row>
    <row r="1862">
      <c r="A1862" s="22" t="n"/>
      <c r="B1862" s="23" t="n"/>
      <c r="C1862" s="24" t="n"/>
      <c r="D1862" s="17" t="n"/>
      <c r="E1862" s="17" t="n"/>
      <c r="F1862" s="17" t="n"/>
      <c r="G1862" s="15" t="n"/>
      <c r="H1862" s="25">
        <f>IF(G1862="","",SUMIF(C$2:C1862,"Masuk",G$2:G1862)-SUMIF(C$2:C1862,"Keluar",G$2:G1862))</f>
        <v/>
      </c>
    </row>
    <row r="1863">
      <c r="A1863" s="26" t="n"/>
      <c r="B1863" s="27" t="n"/>
      <c r="C1863" s="28" t="n"/>
      <c r="D1863" s="29" t="n"/>
      <c r="E1863" s="29" t="n"/>
      <c r="F1863" s="29" t="n"/>
      <c r="G1863" s="30" t="n"/>
      <c r="H1863" s="31">
        <f>IF(G1863="","",SUMIF(C$2:C1863,"Masuk",G$2:G1863)-SUMIF(C$2:C1863,"Keluar",G$2:G1863))</f>
        <v/>
      </c>
    </row>
    <row r="1864">
      <c r="A1864" s="22" t="n"/>
      <c r="B1864" s="23" t="n"/>
      <c r="C1864" s="24" t="n"/>
      <c r="D1864" s="17" t="n"/>
      <c r="E1864" s="17" t="n"/>
      <c r="F1864" s="17" t="n"/>
      <c r="G1864" s="15" t="n"/>
      <c r="H1864" s="25">
        <f>IF(G1864="","",SUMIF(C$2:C1864,"Masuk",G$2:G1864)-SUMIF(C$2:C1864,"Keluar",G$2:G1864))</f>
        <v/>
      </c>
    </row>
    <row r="1865">
      <c r="A1865" s="26" t="n"/>
      <c r="B1865" s="27" t="n"/>
      <c r="C1865" s="28" t="n"/>
      <c r="D1865" s="29" t="n"/>
      <c r="E1865" s="29" t="n"/>
      <c r="F1865" s="29" t="n"/>
      <c r="G1865" s="30" t="n"/>
      <c r="H1865" s="31">
        <f>IF(G1865="","",SUMIF(C$2:C1865,"Masuk",G$2:G1865)-SUMIF(C$2:C1865,"Keluar",G$2:G1865))</f>
        <v/>
      </c>
    </row>
    <row r="1866">
      <c r="A1866" s="22" t="n"/>
      <c r="B1866" s="23" t="n"/>
      <c r="C1866" s="24" t="n"/>
      <c r="D1866" s="17" t="n"/>
      <c r="E1866" s="17" t="n"/>
      <c r="F1866" s="17" t="n"/>
      <c r="G1866" s="15" t="n"/>
      <c r="H1866" s="25">
        <f>IF(G1866="","",SUMIF(C$2:C1866,"Masuk",G$2:G1866)-SUMIF(C$2:C1866,"Keluar",G$2:G1866))</f>
        <v/>
      </c>
    </row>
    <row r="1867">
      <c r="A1867" s="26" t="n"/>
      <c r="B1867" s="27" t="n"/>
      <c r="C1867" s="28" t="n"/>
      <c r="D1867" s="29" t="n"/>
      <c r="E1867" s="29" t="n"/>
      <c r="F1867" s="29" t="n"/>
      <c r="G1867" s="30" t="n"/>
      <c r="H1867" s="31">
        <f>IF(G1867="","",SUMIF(C$2:C1867,"Masuk",G$2:G1867)-SUMIF(C$2:C1867,"Keluar",G$2:G1867))</f>
        <v/>
      </c>
    </row>
    <row r="1868">
      <c r="A1868" s="22" t="n"/>
      <c r="B1868" s="23" t="n"/>
      <c r="C1868" s="24" t="n"/>
      <c r="D1868" s="17" t="n"/>
      <c r="E1868" s="17" t="n"/>
      <c r="F1868" s="17" t="n"/>
      <c r="G1868" s="15" t="n"/>
      <c r="H1868" s="25">
        <f>IF(G1868="","",SUMIF(C$2:C1868,"Masuk",G$2:G1868)-SUMIF(C$2:C1868,"Keluar",G$2:G1868))</f>
        <v/>
      </c>
    </row>
    <row r="1869">
      <c r="A1869" s="26" t="n"/>
      <c r="B1869" s="27" t="n"/>
      <c r="C1869" s="28" t="n"/>
      <c r="D1869" s="29" t="n"/>
      <c r="E1869" s="29" t="n"/>
      <c r="F1869" s="29" t="n"/>
      <c r="G1869" s="30" t="n"/>
      <c r="H1869" s="31">
        <f>IF(G1869="","",SUMIF(C$2:C1869,"Masuk",G$2:G1869)-SUMIF(C$2:C1869,"Keluar",G$2:G1869))</f>
        <v/>
      </c>
    </row>
    <row r="1870">
      <c r="A1870" s="22" t="n"/>
      <c r="B1870" s="23" t="n"/>
      <c r="C1870" s="24" t="n"/>
      <c r="D1870" s="17" t="n"/>
      <c r="E1870" s="17" t="n"/>
      <c r="F1870" s="17" t="n"/>
      <c r="G1870" s="15" t="n"/>
      <c r="H1870" s="25">
        <f>IF(G1870="","",SUMIF(C$2:C1870,"Masuk",G$2:G1870)-SUMIF(C$2:C1870,"Keluar",G$2:G1870))</f>
        <v/>
      </c>
    </row>
    <row r="1871">
      <c r="A1871" s="26" t="n"/>
      <c r="B1871" s="27" t="n"/>
      <c r="C1871" s="28" t="n"/>
      <c r="D1871" s="29" t="n"/>
      <c r="E1871" s="29" t="n"/>
      <c r="F1871" s="29" t="n"/>
      <c r="G1871" s="30" t="n"/>
      <c r="H1871" s="31">
        <f>IF(G1871="","",SUMIF(C$2:C1871,"Masuk",G$2:G1871)-SUMIF(C$2:C1871,"Keluar",G$2:G1871))</f>
        <v/>
      </c>
    </row>
    <row r="1872">
      <c r="A1872" s="22" t="n"/>
      <c r="B1872" s="23" t="n"/>
      <c r="C1872" s="24" t="n"/>
      <c r="D1872" s="17" t="n"/>
      <c r="E1872" s="17" t="n"/>
      <c r="F1872" s="17" t="n"/>
      <c r="G1872" s="15" t="n"/>
      <c r="H1872" s="25">
        <f>IF(G1872="","",SUMIF(C$2:C1872,"Masuk",G$2:G1872)-SUMIF(C$2:C1872,"Keluar",G$2:G1872))</f>
        <v/>
      </c>
    </row>
    <row r="1873">
      <c r="A1873" s="26" t="n"/>
      <c r="B1873" s="27" t="n"/>
      <c r="C1873" s="28" t="n"/>
      <c r="D1873" s="29" t="n"/>
      <c r="E1873" s="29" t="n"/>
      <c r="F1873" s="29" t="n"/>
      <c r="G1873" s="30" t="n"/>
      <c r="H1873" s="31">
        <f>IF(G1873="","",SUMIF(C$2:C1873,"Masuk",G$2:G1873)-SUMIF(C$2:C1873,"Keluar",G$2:G1873))</f>
        <v/>
      </c>
    </row>
    <row r="1874">
      <c r="A1874" s="22" t="n"/>
      <c r="B1874" s="23" t="n"/>
      <c r="C1874" s="24" t="n"/>
      <c r="D1874" s="17" t="n"/>
      <c r="E1874" s="17" t="n"/>
      <c r="F1874" s="17" t="n"/>
      <c r="G1874" s="15" t="n"/>
      <c r="H1874" s="25">
        <f>IF(G1874="","",SUMIF(C$2:C1874,"Masuk",G$2:G1874)-SUMIF(C$2:C1874,"Keluar",G$2:G1874))</f>
        <v/>
      </c>
    </row>
    <row r="1875">
      <c r="A1875" s="26" t="n"/>
      <c r="B1875" s="27" t="n"/>
      <c r="C1875" s="28" t="n"/>
      <c r="D1875" s="29" t="n"/>
      <c r="E1875" s="29" t="n"/>
      <c r="F1875" s="29" t="n"/>
      <c r="G1875" s="30" t="n"/>
      <c r="H1875" s="31">
        <f>IF(G1875="","",SUMIF(C$2:C1875,"Masuk",G$2:G1875)-SUMIF(C$2:C1875,"Keluar",G$2:G1875))</f>
        <v/>
      </c>
    </row>
    <row r="1876">
      <c r="A1876" s="22" t="n"/>
      <c r="B1876" s="23" t="n"/>
      <c r="C1876" s="24" t="n"/>
      <c r="D1876" s="17" t="n"/>
      <c r="E1876" s="17" t="n"/>
      <c r="F1876" s="17" t="n"/>
      <c r="G1876" s="15" t="n"/>
      <c r="H1876" s="25">
        <f>IF(G1876="","",SUMIF(C$2:C1876,"Masuk",G$2:G1876)-SUMIF(C$2:C1876,"Keluar",G$2:G1876))</f>
        <v/>
      </c>
    </row>
    <row r="1877">
      <c r="A1877" s="26" t="n"/>
      <c r="B1877" s="27" t="n"/>
      <c r="C1877" s="28" t="n"/>
      <c r="D1877" s="29" t="n"/>
      <c r="E1877" s="29" t="n"/>
      <c r="F1877" s="29" t="n"/>
      <c r="G1877" s="30" t="n"/>
      <c r="H1877" s="31">
        <f>IF(G1877="","",SUMIF(C$2:C1877,"Masuk",G$2:G1877)-SUMIF(C$2:C1877,"Keluar",G$2:G1877))</f>
        <v/>
      </c>
    </row>
    <row r="1878">
      <c r="A1878" s="22" t="n"/>
      <c r="B1878" s="23" t="n"/>
      <c r="C1878" s="24" t="n"/>
      <c r="D1878" s="17" t="n"/>
      <c r="E1878" s="17" t="n"/>
      <c r="F1878" s="17" t="n"/>
      <c r="G1878" s="15" t="n"/>
      <c r="H1878" s="25">
        <f>IF(G1878="","",SUMIF(C$2:C1878,"Masuk",G$2:G1878)-SUMIF(C$2:C1878,"Keluar",G$2:G1878))</f>
        <v/>
      </c>
    </row>
    <row r="1879">
      <c r="A1879" s="26" t="n"/>
      <c r="B1879" s="27" t="n"/>
      <c r="C1879" s="28" t="n"/>
      <c r="D1879" s="29" t="n"/>
      <c r="E1879" s="29" t="n"/>
      <c r="F1879" s="29" t="n"/>
      <c r="G1879" s="30" t="n"/>
      <c r="H1879" s="31">
        <f>IF(G1879="","",SUMIF(C$2:C1879,"Masuk",G$2:G1879)-SUMIF(C$2:C1879,"Keluar",G$2:G1879))</f>
        <v/>
      </c>
    </row>
    <row r="1880">
      <c r="A1880" s="22" t="n"/>
      <c r="B1880" s="23" t="n"/>
      <c r="C1880" s="24" t="n"/>
      <c r="D1880" s="17" t="n"/>
      <c r="E1880" s="17" t="n"/>
      <c r="F1880" s="17" t="n"/>
      <c r="G1880" s="15" t="n"/>
      <c r="H1880" s="25">
        <f>IF(G1880="","",SUMIF(C$2:C1880,"Masuk",G$2:G1880)-SUMIF(C$2:C1880,"Keluar",G$2:G1880))</f>
        <v/>
      </c>
    </row>
    <row r="1881">
      <c r="A1881" s="26" t="n"/>
      <c r="B1881" s="27" t="n"/>
      <c r="C1881" s="28" t="n"/>
      <c r="D1881" s="29" t="n"/>
      <c r="E1881" s="29" t="n"/>
      <c r="F1881" s="29" t="n"/>
      <c r="G1881" s="30" t="n"/>
      <c r="H1881" s="31">
        <f>IF(G1881="","",SUMIF(C$2:C1881,"Masuk",G$2:G1881)-SUMIF(C$2:C1881,"Keluar",G$2:G1881))</f>
        <v/>
      </c>
    </row>
    <row r="1882">
      <c r="A1882" s="22" t="n"/>
      <c r="B1882" s="23" t="n"/>
      <c r="C1882" s="24" t="n"/>
      <c r="D1882" s="17" t="n"/>
      <c r="E1882" s="17" t="n"/>
      <c r="F1882" s="17" t="n"/>
      <c r="G1882" s="15" t="n"/>
      <c r="H1882" s="25">
        <f>IF(G1882="","",SUMIF(C$2:C1882,"Masuk",G$2:G1882)-SUMIF(C$2:C1882,"Keluar",G$2:G1882))</f>
        <v/>
      </c>
    </row>
    <row r="1883">
      <c r="A1883" s="26" t="n"/>
      <c r="B1883" s="27" t="n"/>
      <c r="C1883" s="28" t="n"/>
      <c r="D1883" s="29" t="n"/>
      <c r="E1883" s="29" t="n"/>
      <c r="F1883" s="29" t="n"/>
      <c r="G1883" s="30" t="n"/>
      <c r="H1883" s="31">
        <f>IF(G1883="","",SUMIF(C$2:C1883,"Masuk",G$2:G1883)-SUMIF(C$2:C1883,"Keluar",G$2:G1883))</f>
        <v/>
      </c>
    </row>
    <row r="1884">
      <c r="A1884" s="22" t="n"/>
      <c r="B1884" s="23" t="n"/>
      <c r="C1884" s="24" t="n"/>
      <c r="D1884" s="17" t="n"/>
      <c r="E1884" s="17" t="n"/>
      <c r="F1884" s="17" t="n"/>
      <c r="G1884" s="15" t="n"/>
      <c r="H1884" s="25">
        <f>IF(G1884="","",SUMIF(C$2:C1884,"Masuk",G$2:G1884)-SUMIF(C$2:C1884,"Keluar",G$2:G1884))</f>
        <v/>
      </c>
    </row>
    <row r="1885">
      <c r="A1885" s="26" t="n"/>
      <c r="B1885" s="27" t="n"/>
      <c r="C1885" s="28" t="n"/>
      <c r="D1885" s="29" t="n"/>
      <c r="E1885" s="29" t="n"/>
      <c r="F1885" s="29" t="n"/>
      <c r="G1885" s="30" t="n"/>
      <c r="H1885" s="31">
        <f>IF(G1885="","",SUMIF(C$2:C1885,"Masuk",G$2:G1885)-SUMIF(C$2:C1885,"Keluar",G$2:G1885))</f>
        <v/>
      </c>
    </row>
    <row r="1886">
      <c r="A1886" s="22" t="n"/>
      <c r="B1886" s="23" t="n"/>
      <c r="C1886" s="24" t="n"/>
      <c r="D1886" s="17" t="n"/>
      <c r="E1886" s="17" t="n"/>
      <c r="F1886" s="17" t="n"/>
      <c r="G1886" s="15" t="n"/>
      <c r="H1886" s="25">
        <f>IF(G1886="","",SUMIF(C$2:C1886,"Masuk",G$2:G1886)-SUMIF(C$2:C1886,"Keluar",G$2:G1886))</f>
        <v/>
      </c>
    </row>
    <row r="1887">
      <c r="A1887" s="26" t="n"/>
      <c r="B1887" s="27" t="n"/>
      <c r="C1887" s="28" t="n"/>
      <c r="D1887" s="29" t="n"/>
      <c r="E1887" s="29" t="n"/>
      <c r="F1887" s="29" t="n"/>
      <c r="G1887" s="30" t="n"/>
      <c r="H1887" s="31">
        <f>IF(G1887="","",SUMIF(C$2:C1887,"Masuk",G$2:G1887)-SUMIF(C$2:C1887,"Keluar",G$2:G1887))</f>
        <v/>
      </c>
    </row>
    <row r="1888">
      <c r="A1888" s="22" t="n"/>
      <c r="B1888" s="23" t="n"/>
      <c r="C1888" s="24" t="n"/>
      <c r="D1888" s="17" t="n"/>
      <c r="E1888" s="17" t="n"/>
      <c r="F1888" s="17" t="n"/>
      <c r="G1888" s="15" t="n"/>
      <c r="H1888" s="25">
        <f>IF(G1888="","",SUMIF(C$2:C1888,"Masuk",G$2:G1888)-SUMIF(C$2:C1888,"Keluar",G$2:G1888))</f>
        <v/>
      </c>
    </row>
    <row r="1889">
      <c r="A1889" s="26" t="n"/>
      <c r="B1889" s="27" t="n"/>
      <c r="C1889" s="28" t="n"/>
      <c r="D1889" s="29" t="n"/>
      <c r="E1889" s="29" t="n"/>
      <c r="F1889" s="29" t="n"/>
      <c r="G1889" s="30" t="n"/>
      <c r="H1889" s="31">
        <f>IF(G1889="","",SUMIF(C$2:C1889,"Masuk",G$2:G1889)-SUMIF(C$2:C1889,"Keluar",G$2:G1889))</f>
        <v/>
      </c>
    </row>
    <row r="1890">
      <c r="A1890" s="22" t="n"/>
      <c r="B1890" s="23" t="n"/>
      <c r="C1890" s="24" t="n"/>
      <c r="D1890" s="17" t="n"/>
      <c r="E1890" s="17" t="n"/>
      <c r="F1890" s="17" t="n"/>
      <c r="G1890" s="15" t="n"/>
      <c r="H1890" s="25">
        <f>IF(G1890="","",SUMIF(C$2:C1890,"Masuk",G$2:G1890)-SUMIF(C$2:C1890,"Keluar",G$2:G1890))</f>
        <v/>
      </c>
    </row>
    <row r="1891">
      <c r="A1891" s="26" t="n"/>
      <c r="B1891" s="27" t="n"/>
      <c r="C1891" s="28" t="n"/>
      <c r="D1891" s="29" t="n"/>
      <c r="E1891" s="29" t="n"/>
      <c r="F1891" s="29" t="n"/>
      <c r="G1891" s="30" t="n"/>
      <c r="H1891" s="31">
        <f>IF(G1891="","",SUMIF(C$2:C1891,"Masuk",G$2:G1891)-SUMIF(C$2:C1891,"Keluar",G$2:G1891))</f>
        <v/>
      </c>
    </row>
    <row r="1892">
      <c r="A1892" s="22" t="n"/>
      <c r="B1892" s="23" t="n"/>
      <c r="C1892" s="24" t="n"/>
      <c r="D1892" s="17" t="n"/>
      <c r="E1892" s="17" t="n"/>
      <c r="F1892" s="17" t="n"/>
      <c r="G1892" s="15" t="n"/>
      <c r="H1892" s="25">
        <f>IF(G1892="","",SUMIF(C$2:C1892,"Masuk",G$2:G1892)-SUMIF(C$2:C1892,"Keluar",G$2:G1892))</f>
        <v/>
      </c>
    </row>
    <row r="1893">
      <c r="A1893" s="26" t="n"/>
      <c r="B1893" s="27" t="n"/>
      <c r="C1893" s="28" t="n"/>
      <c r="D1893" s="29" t="n"/>
      <c r="E1893" s="29" t="n"/>
      <c r="F1893" s="29" t="n"/>
      <c r="G1893" s="30" t="n"/>
      <c r="H1893" s="31">
        <f>IF(G1893="","",SUMIF(C$2:C1893,"Masuk",G$2:G1893)-SUMIF(C$2:C1893,"Keluar",G$2:G1893))</f>
        <v/>
      </c>
    </row>
    <row r="1894">
      <c r="A1894" s="22" t="n"/>
      <c r="B1894" s="23" t="n"/>
      <c r="C1894" s="24" t="n"/>
      <c r="D1894" s="17" t="n"/>
      <c r="E1894" s="17" t="n"/>
      <c r="F1894" s="17" t="n"/>
      <c r="G1894" s="15" t="n"/>
      <c r="H1894" s="25">
        <f>IF(G1894="","",SUMIF(C$2:C1894,"Masuk",G$2:G1894)-SUMIF(C$2:C1894,"Keluar",G$2:G1894))</f>
        <v/>
      </c>
    </row>
    <row r="1895">
      <c r="A1895" s="26" t="n"/>
      <c r="B1895" s="27" t="n"/>
      <c r="C1895" s="28" t="n"/>
      <c r="D1895" s="29" t="n"/>
      <c r="E1895" s="29" t="n"/>
      <c r="F1895" s="29" t="n"/>
      <c r="G1895" s="30" t="n"/>
      <c r="H1895" s="31">
        <f>IF(G1895="","",SUMIF(C$2:C1895,"Masuk",G$2:G1895)-SUMIF(C$2:C1895,"Keluar",G$2:G1895))</f>
        <v/>
      </c>
    </row>
    <row r="1896">
      <c r="A1896" s="22" t="n"/>
      <c r="B1896" s="23" t="n"/>
      <c r="C1896" s="24" t="n"/>
      <c r="D1896" s="17" t="n"/>
      <c r="E1896" s="17" t="n"/>
      <c r="F1896" s="17" t="n"/>
      <c r="G1896" s="15" t="n"/>
      <c r="H1896" s="25">
        <f>IF(G1896="","",SUMIF(C$2:C1896,"Masuk",G$2:G1896)-SUMIF(C$2:C1896,"Keluar",G$2:G1896))</f>
        <v/>
      </c>
    </row>
    <row r="1897">
      <c r="A1897" s="26" t="n"/>
      <c r="B1897" s="27" t="n"/>
      <c r="C1897" s="28" t="n"/>
      <c r="D1897" s="29" t="n"/>
      <c r="E1897" s="29" t="n"/>
      <c r="F1897" s="29" t="n"/>
      <c r="G1897" s="30" t="n"/>
      <c r="H1897" s="31">
        <f>IF(G1897="","",SUMIF(C$2:C1897,"Masuk",G$2:G1897)-SUMIF(C$2:C1897,"Keluar",G$2:G1897))</f>
        <v/>
      </c>
    </row>
    <row r="1898">
      <c r="A1898" s="22" t="n"/>
      <c r="B1898" s="23" t="n"/>
      <c r="C1898" s="24" t="n"/>
      <c r="D1898" s="17" t="n"/>
      <c r="E1898" s="17" t="n"/>
      <c r="F1898" s="17" t="n"/>
      <c r="G1898" s="15" t="n"/>
      <c r="H1898" s="25">
        <f>IF(G1898="","",SUMIF(C$2:C1898,"Masuk",G$2:G1898)-SUMIF(C$2:C1898,"Keluar",G$2:G1898))</f>
        <v/>
      </c>
    </row>
    <row r="1899">
      <c r="A1899" s="26" t="n"/>
      <c r="B1899" s="27" t="n"/>
      <c r="C1899" s="28" t="n"/>
      <c r="D1899" s="29" t="n"/>
      <c r="E1899" s="29" t="n"/>
      <c r="F1899" s="29" t="n"/>
      <c r="G1899" s="30" t="n"/>
      <c r="H1899" s="31">
        <f>IF(G1899="","",SUMIF(C$2:C1899,"Masuk",G$2:G1899)-SUMIF(C$2:C1899,"Keluar",G$2:G1899))</f>
        <v/>
      </c>
    </row>
    <row r="1900">
      <c r="A1900" s="22" t="n"/>
      <c r="B1900" s="23" t="n"/>
      <c r="C1900" s="24" t="n"/>
      <c r="D1900" s="17" t="n"/>
      <c r="E1900" s="17" t="n"/>
      <c r="F1900" s="17" t="n"/>
      <c r="G1900" s="15" t="n"/>
      <c r="H1900" s="25">
        <f>IF(G1900="","",SUMIF(C$2:C1900,"Masuk",G$2:G1900)-SUMIF(C$2:C1900,"Keluar",G$2:G1900))</f>
        <v/>
      </c>
    </row>
    <row r="1901">
      <c r="A1901" s="26" t="n"/>
      <c r="B1901" s="27" t="n"/>
      <c r="C1901" s="28" t="n"/>
      <c r="D1901" s="29" t="n"/>
      <c r="E1901" s="29" t="n"/>
      <c r="F1901" s="29" t="n"/>
      <c r="G1901" s="30" t="n"/>
      <c r="H1901" s="31">
        <f>IF(G1901="","",SUMIF(C$2:C1901,"Masuk",G$2:G1901)-SUMIF(C$2:C1901,"Keluar",G$2:G1901))</f>
        <v/>
      </c>
    </row>
    <row r="1902">
      <c r="A1902" s="22" t="n"/>
      <c r="B1902" s="23" t="n"/>
      <c r="C1902" s="24" t="n"/>
      <c r="D1902" s="17" t="n"/>
      <c r="E1902" s="17" t="n"/>
      <c r="F1902" s="17" t="n"/>
      <c r="G1902" s="15" t="n"/>
      <c r="H1902" s="25">
        <f>IF(G1902="","",SUMIF(C$2:C1902,"Masuk",G$2:G1902)-SUMIF(C$2:C1902,"Keluar",G$2:G1902))</f>
        <v/>
      </c>
    </row>
    <row r="1903">
      <c r="A1903" s="26" t="n"/>
      <c r="B1903" s="27" t="n"/>
      <c r="C1903" s="28" t="n"/>
      <c r="D1903" s="29" t="n"/>
      <c r="E1903" s="29" t="n"/>
      <c r="F1903" s="29" t="n"/>
      <c r="G1903" s="30" t="n"/>
      <c r="H1903" s="31">
        <f>IF(G1903="","",SUMIF(C$2:C1903,"Masuk",G$2:G1903)-SUMIF(C$2:C1903,"Keluar",G$2:G1903))</f>
        <v/>
      </c>
    </row>
    <row r="1904">
      <c r="A1904" s="22" t="n"/>
      <c r="B1904" s="23" t="n"/>
      <c r="C1904" s="24" t="n"/>
      <c r="D1904" s="17" t="n"/>
      <c r="E1904" s="17" t="n"/>
      <c r="F1904" s="17" t="n"/>
      <c r="G1904" s="15" t="n"/>
      <c r="H1904" s="25">
        <f>IF(G1904="","",SUMIF(C$2:C1904,"Masuk",G$2:G1904)-SUMIF(C$2:C1904,"Keluar",G$2:G1904))</f>
        <v/>
      </c>
    </row>
    <row r="1905">
      <c r="A1905" s="26" t="n"/>
      <c r="B1905" s="27" t="n"/>
      <c r="C1905" s="28" t="n"/>
      <c r="D1905" s="29" t="n"/>
      <c r="E1905" s="29" t="n"/>
      <c r="F1905" s="29" t="n"/>
      <c r="G1905" s="30" t="n"/>
      <c r="H1905" s="31">
        <f>IF(G1905="","",SUMIF(C$2:C1905,"Masuk",G$2:G1905)-SUMIF(C$2:C1905,"Keluar",G$2:G1905))</f>
        <v/>
      </c>
    </row>
    <row r="1906">
      <c r="A1906" s="22" t="n"/>
      <c r="B1906" s="23" t="n"/>
      <c r="C1906" s="24" t="n"/>
      <c r="D1906" s="17" t="n"/>
      <c r="E1906" s="17" t="n"/>
      <c r="F1906" s="17" t="n"/>
      <c r="G1906" s="15" t="n"/>
      <c r="H1906" s="25">
        <f>IF(G1906="","",SUMIF(C$2:C1906,"Masuk",G$2:G1906)-SUMIF(C$2:C1906,"Keluar",G$2:G1906))</f>
        <v/>
      </c>
    </row>
    <row r="1907">
      <c r="A1907" s="26" t="n"/>
      <c r="B1907" s="27" t="n"/>
      <c r="C1907" s="28" t="n"/>
      <c r="D1907" s="29" t="n"/>
      <c r="E1907" s="29" t="n"/>
      <c r="F1907" s="29" t="n"/>
      <c r="G1907" s="30" t="n"/>
      <c r="H1907" s="31">
        <f>IF(G1907="","",SUMIF(C$2:C1907,"Masuk",G$2:G1907)-SUMIF(C$2:C1907,"Keluar",G$2:G1907))</f>
        <v/>
      </c>
    </row>
    <row r="1908">
      <c r="A1908" s="22" t="n"/>
      <c r="B1908" s="23" t="n"/>
      <c r="C1908" s="24" t="n"/>
      <c r="D1908" s="17" t="n"/>
      <c r="E1908" s="17" t="n"/>
      <c r="F1908" s="17" t="n"/>
      <c r="G1908" s="15" t="n"/>
      <c r="H1908" s="25">
        <f>IF(G1908="","",SUMIF(C$2:C1908,"Masuk",G$2:G1908)-SUMIF(C$2:C1908,"Keluar",G$2:G1908))</f>
        <v/>
      </c>
    </row>
    <row r="1909">
      <c r="A1909" s="26" t="n"/>
      <c r="B1909" s="27" t="n"/>
      <c r="C1909" s="28" t="n"/>
      <c r="D1909" s="29" t="n"/>
      <c r="E1909" s="29" t="n"/>
      <c r="F1909" s="29" t="n"/>
      <c r="G1909" s="30" t="n"/>
      <c r="H1909" s="31">
        <f>IF(G1909="","",SUMIF(C$2:C1909,"Masuk",G$2:G1909)-SUMIF(C$2:C1909,"Keluar",G$2:G1909))</f>
        <v/>
      </c>
    </row>
    <row r="1910">
      <c r="A1910" s="22" t="n"/>
      <c r="B1910" s="23" t="n"/>
      <c r="C1910" s="24" t="n"/>
      <c r="D1910" s="17" t="n"/>
      <c r="E1910" s="17" t="n"/>
      <c r="F1910" s="17" t="n"/>
      <c r="G1910" s="15" t="n"/>
      <c r="H1910" s="25">
        <f>IF(G1910="","",SUMIF(C$2:C1910,"Masuk",G$2:G1910)-SUMIF(C$2:C1910,"Keluar",G$2:G1910))</f>
        <v/>
      </c>
    </row>
    <row r="1911">
      <c r="A1911" s="26" t="n"/>
      <c r="B1911" s="27" t="n"/>
      <c r="C1911" s="28" t="n"/>
      <c r="D1911" s="29" t="n"/>
      <c r="E1911" s="29" t="n"/>
      <c r="F1911" s="29" t="n"/>
      <c r="G1911" s="30" t="n"/>
      <c r="H1911" s="31">
        <f>IF(G1911="","",SUMIF(C$2:C1911,"Masuk",G$2:G1911)-SUMIF(C$2:C1911,"Keluar",G$2:G1911))</f>
        <v/>
      </c>
    </row>
    <row r="1912">
      <c r="A1912" s="22" t="n"/>
      <c r="B1912" s="23" t="n"/>
      <c r="C1912" s="24" t="n"/>
      <c r="D1912" s="17" t="n"/>
      <c r="E1912" s="17" t="n"/>
      <c r="F1912" s="17" t="n"/>
      <c r="G1912" s="15" t="n"/>
      <c r="H1912" s="25">
        <f>IF(G1912="","",SUMIF(C$2:C1912,"Masuk",G$2:G1912)-SUMIF(C$2:C1912,"Keluar",G$2:G1912))</f>
        <v/>
      </c>
    </row>
    <row r="1913">
      <c r="A1913" s="26" t="n"/>
      <c r="B1913" s="27" t="n"/>
      <c r="C1913" s="28" t="n"/>
      <c r="D1913" s="29" t="n"/>
      <c r="E1913" s="29" t="n"/>
      <c r="F1913" s="29" t="n"/>
      <c r="G1913" s="30" t="n"/>
      <c r="H1913" s="31">
        <f>IF(G1913="","",SUMIF(C$2:C1913,"Masuk",G$2:G1913)-SUMIF(C$2:C1913,"Keluar",G$2:G1913))</f>
        <v/>
      </c>
    </row>
    <row r="1914">
      <c r="A1914" s="22" t="n"/>
      <c r="B1914" s="23" t="n"/>
      <c r="C1914" s="24" t="n"/>
      <c r="D1914" s="17" t="n"/>
      <c r="E1914" s="17" t="n"/>
      <c r="F1914" s="17" t="n"/>
      <c r="G1914" s="15" t="n"/>
      <c r="H1914" s="25">
        <f>IF(G1914="","",SUMIF(C$2:C1914,"Masuk",G$2:G1914)-SUMIF(C$2:C1914,"Keluar",G$2:G1914))</f>
        <v/>
      </c>
    </row>
    <row r="1915">
      <c r="A1915" s="26" t="n"/>
      <c r="B1915" s="27" t="n"/>
      <c r="C1915" s="28" t="n"/>
      <c r="D1915" s="29" t="n"/>
      <c r="E1915" s="29" t="n"/>
      <c r="F1915" s="29" t="n"/>
      <c r="G1915" s="30" t="n"/>
      <c r="H1915" s="31">
        <f>IF(G1915="","",SUMIF(C$2:C1915,"Masuk",G$2:G1915)-SUMIF(C$2:C1915,"Keluar",G$2:G1915))</f>
        <v/>
      </c>
    </row>
    <row r="1916">
      <c r="A1916" s="22" t="n"/>
      <c r="B1916" s="23" t="n"/>
      <c r="C1916" s="24" t="n"/>
      <c r="D1916" s="17" t="n"/>
      <c r="E1916" s="17" t="n"/>
      <c r="F1916" s="17" t="n"/>
      <c r="G1916" s="15" t="n"/>
      <c r="H1916" s="25">
        <f>IF(G1916="","",SUMIF(C$2:C1916,"Masuk",G$2:G1916)-SUMIF(C$2:C1916,"Keluar",G$2:G1916))</f>
        <v/>
      </c>
    </row>
    <row r="1917">
      <c r="A1917" s="26" t="n"/>
      <c r="B1917" s="27" t="n"/>
      <c r="C1917" s="28" t="n"/>
      <c r="D1917" s="29" t="n"/>
      <c r="E1917" s="29" t="n"/>
      <c r="F1917" s="29" t="n"/>
      <c r="G1917" s="30" t="n"/>
      <c r="H1917" s="31">
        <f>IF(G1917="","",SUMIF(C$2:C1917,"Masuk",G$2:G1917)-SUMIF(C$2:C1917,"Keluar",G$2:G1917))</f>
        <v/>
      </c>
    </row>
    <row r="1918">
      <c r="A1918" s="22" t="n"/>
      <c r="B1918" s="23" t="n"/>
      <c r="C1918" s="24" t="n"/>
      <c r="D1918" s="17" t="n"/>
      <c r="E1918" s="17" t="n"/>
      <c r="F1918" s="17" t="n"/>
      <c r="G1918" s="15" t="n"/>
      <c r="H1918" s="25">
        <f>IF(G1918="","",SUMIF(C$2:C1918,"Masuk",G$2:G1918)-SUMIF(C$2:C1918,"Keluar",G$2:G1918))</f>
        <v/>
      </c>
    </row>
    <row r="1919">
      <c r="A1919" s="26" t="n"/>
      <c r="B1919" s="27" t="n"/>
      <c r="C1919" s="28" t="n"/>
      <c r="D1919" s="29" t="n"/>
      <c r="E1919" s="29" t="n"/>
      <c r="F1919" s="29" t="n"/>
      <c r="G1919" s="30" t="n"/>
      <c r="H1919" s="31">
        <f>IF(G1919="","",SUMIF(C$2:C1919,"Masuk",G$2:G1919)-SUMIF(C$2:C1919,"Keluar",G$2:G1919))</f>
        <v/>
      </c>
    </row>
    <row r="1920">
      <c r="A1920" s="22" t="n"/>
      <c r="B1920" s="23" t="n"/>
      <c r="C1920" s="24" t="n"/>
      <c r="D1920" s="17" t="n"/>
      <c r="E1920" s="17" t="n"/>
      <c r="F1920" s="17" t="n"/>
      <c r="G1920" s="15" t="n"/>
      <c r="H1920" s="25">
        <f>IF(G1920="","",SUMIF(C$2:C1920,"Masuk",G$2:G1920)-SUMIF(C$2:C1920,"Keluar",G$2:G1920))</f>
        <v/>
      </c>
    </row>
    <row r="1921">
      <c r="A1921" s="26" t="n"/>
      <c r="B1921" s="27" t="n"/>
      <c r="C1921" s="28" t="n"/>
      <c r="D1921" s="29" t="n"/>
      <c r="E1921" s="29" t="n"/>
      <c r="F1921" s="29" t="n"/>
      <c r="G1921" s="30" t="n"/>
      <c r="H1921" s="31">
        <f>IF(G1921="","",SUMIF(C$2:C1921,"Masuk",G$2:G1921)-SUMIF(C$2:C1921,"Keluar",G$2:G1921))</f>
        <v/>
      </c>
    </row>
    <row r="1922">
      <c r="A1922" s="22" t="n"/>
      <c r="B1922" s="23" t="n"/>
      <c r="C1922" s="24" t="n"/>
      <c r="D1922" s="17" t="n"/>
      <c r="E1922" s="17" t="n"/>
      <c r="F1922" s="17" t="n"/>
      <c r="G1922" s="15" t="n"/>
      <c r="H1922" s="25">
        <f>IF(G1922="","",SUMIF(C$2:C1922,"Masuk",G$2:G1922)-SUMIF(C$2:C1922,"Keluar",G$2:G1922))</f>
        <v/>
      </c>
    </row>
    <row r="1923">
      <c r="A1923" s="26" t="n"/>
      <c r="B1923" s="27" t="n"/>
      <c r="C1923" s="28" t="n"/>
      <c r="D1923" s="29" t="n"/>
      <c r="E1923" s="29" t="n"/>
      <c r="F1923" s="29" t="n"/>
      <c r="G1923" s="30" t="n"/>
      <c r="H1923" s="31">
        <f>IF(G1923="","",SUMIF(C$2:C1923,"Masuk",G$2:G1923)-SUMIF(C$2:C1923,"Keluar",G$2:G1923))</f>
        <v/>
      </c>
    </row>
    <row r="1924">
      <c r="A1924" s="22" t="n"/>
      <c r="B1924" s="23" t="n"/>
      <c r="C1924" s="24" t="n"/>
      <c r="D1924" s="17" t="n"/>
      <c r="E1924" s="17" t="n"/>
      <c r="F1924" s="17" t="n"/>
      <c r="G1924" s="15" t="n"/>
      <c r="H1924" s="25">
        <f>IF(G1924="","",SUMIF(C$2:C1924,"Masuk",G$2:G1924)-SUMIF(C$2:C1924,"Keluar",G$2:G1924))</f>
        <v/>
      </c>
    </row>
    <row r="1925">
      <c r="A1925" s="26" t="n"/>
      <c r="B1925" s="27" t="n"/>
      <c r="C1925" s="28" t="n"/>
      <c r="D1925" s="29" t="n"/>
      <c r="E1925" s="29" t="n"/>
      <c r="F1925" s="29" t="n"/>
      <c r="G1925" s="30" t="n"/>
      <c r="H1925" s="31">
        <f>IF(G1925="","",SUMIF(C$2:C1925,"Masuk",G$2:G1925)-SUMIF(C$2:C1925,"Keluar",G$2:G1925))</f>
        <v/>
      </c>
    </row>
    <row r="1926">
      <c r="A1926" s="22" t="n"/>
      <c r="B1926" s="23" t="n"/>
      <c r="C1926" s="24" t="n"/>
      <c r="D1926" s="17" t="n"/>
      <c r="E1926" s="17" t="n"/>
      <c r="F1926" s="17" t="n"/>
      <c r="G1926" s="15" t="n"/>
      <c r="H1926" s="25">
        <f>IF(G1926="","",SUMIF(C$2:C1926,"Masuk",G$2:G1926)-SUMIF(C$2:C1926,"Keluar",G$2:G1926))</f>
        <v/>
      </c>
    </row>
    <row r="1927">
      <c r="A1927" s="26" t="n"/>
      <c r="B1927" s="27" t="n"/>
      <c r="C1927" s="28" t="n"/>
      <c r="D1927" s="29" t="n"/>
      <c r="E1927" s="29" t="n"/>
      <c r="F1927" s="29" t="n"/>
      <c r="G1927" s="30" t="n"/>
      <c r="H1927" s="31">
        <f>IF(G1927="","",SUMIF(C$2:C1927,"Masuk",G$2:G1927)-SUMIF(C$2:C1927,"Keluar",G$2:G1927))</f>
        <v/>
      </c>
    </row>
    <row r="1928">
      <c r="A1928" s="22" t="n"/>
      <c r="B1928" s="23" t="n"/>
      <c r="C1928" s="24" t="n"/>
      <c r="D1928" s="17" t="n"/>
      <c r="E1928" s="17" t="n"/>
      <c r="F1928" s="17" t="n"/>
      <c r="G1928" s="15" t="n"/>
      <c r="H1928" s="25">
        <f>IF(G1928="","",SUMIF(C$2:C1928,"Masuk",G$2:G1928)-SUMIF(C$2:C1928,"Keluar",G$2:G1928))</f>
        <v/>
      </c>
    </row>
    <row r="1929">
      <c r="A1929" s="26" t="n"/>
      <c r="B1929" s="27" t="n"/>
      <c r="C1929" s="28" t="n"/>
      <c r="D1929" s="29" t="n"/>
      <c r="E1929" s="29" t="n"/>
      <c r="F1929" s="29" t="n"/>
      <c r="G1929" s="30" t="n"/>
      <c r="H1929" s="31">
        <f>IF(G1929="","",SUMIF(C$2:C1929,"Masuk",G$2:G1929)-SUMIF(C$2:C1929,"Keluar",G$2:G1929))</f>
        <v/>
      </c>
    </row>
    <row r="1930">
      <c r="A1930" s="22" t="n"/>
      <c r="B1930" s="23" t="n"/>
      <c r="C1930" s="24" t="n"/>
      <c r="D1930" s="17" t="n"/>
      <c r="E1930" s="17" t="n"/>
      <c r="F1930" s="17" t="n"/>
      <c r="G1930" s="15" t="n"/>
      <c r="H1930" s="25">
        <f>IF(G1930="","",SUMIF(C$2:C1930,"Masuk",G$2:G1930)-SUMIF(C$2:C1930,"Keluar",G$2:G1930))</f>
        <v/>
      </c>
    </row>
    <row r="1931">
      <c r="A1931" s="26" t="n"/>
      <c r="B1931" s="27" t="n"/>
      <c r="C1931" s="28" t="n"/>
      <c r="D1931" s="29" t="n"/>
      <c r="E1931" s="29" t="n"/>
      <c r="F1931" s="29" t="n"/>
      <c r="G1931" s="30" t="n"/>
      <c r="H1931" s="31">
        <f>IF(G1931="","",SUMIF(C$2:C1931,"Masuk",G$2:G1931)-SUMIF(C$2:C1931,"Keluar",G$2:G1931))</f>
        <v/>
      </c>
    </row>
    <row r="1932">
      <c r="A1932" s="22" t="n"/>
      <c r="B1932" s="23" t="n"/>
      <c r="C1932" s="24" t="n"/>
      <c r="D1932" s="17" t="n"/>
      <c r="E1932" s="17" t="n"/>
      <c r="F1932" s="17" t="n"/>
      <c r="G1932" s="15" t="n"/>
      <c r="H1932" s="25">
        <f>IF(G1932="","",SUMIF(C$2:C1932,"Masuk",G$2:G1932)-SUMIF(C$2:C1932,"Keluar",G$2:G1932))</f>
        <v/>
      </c>
    </row>
    <row r="1933">
      <c r="A1933" s="26" t="n"/>
      <c r="B1933" s="27" t="n"/>
      <c r="C1933" s="28" t="n"/>
      <c r="D1933" s="29" t="n"/>
      <c r="E1933" s="29" t="n"/>
      <c r="F1933" s="29" t="n"/>
      <c r="G1933" s="30" t="n"/>
      <c r="H1933" s="31">
        <f>IF(G1933="","",SUMIF(C$2:C1933,"Masuk",G$2:G1933)-SUMIF(C$2:C1933,"Keluar",G$2:G1933))</f>
        <v/>
      </c>
    </row>
    <row r="1934">
      <c r="A1934" s="22" t="n"/>
      <c r="B1934" s="23" t="n"/>
      <c r="C1934" s="24" t="n"/>
      <c r="D1934" s="17" t="n"/>
      <c r="E1934" s="17" t="n"/>
      <c r="F1934" s="17" t="n"/>
      <c r="G1934" s="15" t="n"/>
      <c r="H1934" s="25">
        <f>IF(G1934="","",SUMIF(C$2:C1934,"Masuk",G$2:G1934)-SUMIF(C$2:C1934,"Keluar",G$2:G1934))</f>
        <v/>
      </c>
    </row>
    <row r="1935">
      <c r="A1935" s="26" t="n"/>
      <c r="B1935" s="27" t="n"/>
      <c r="C1935" s="28" t="n"/>
      <c r="D1935" s="29" t="n"/>
      <c r="E1935" s="29" t="n"/>
      <c r="F1935" s="29" t="n"/>
      <c r="G1935" s="30" t="n"/>
      <c r="H1935" s="31">
        <f>IF(G1935="","",SUMIF(C$2:C1935,"Masuk",G$2:G1935)-SUMIF(C$2:C1935,"Keluar",G$2:G1935))</f>
        <v/>
      </c>
    </row>
    <row r="1936">
      <c r="A1936" s="22" t="n"/>
      <c r="B1936" s="23" t="n"/>
      <c r="C1936" s="24" t="n"/>
      <c r="D1936" s="17" t="n"/>
      <c r="E1936" s="17" t="n"/>
      <c r="F1936" s="17" t="n"/>
      <c r="G1936" s="15" t="n"/>
      <c r="H1936" s="25">
        <f>IF(G1936="","",SUMIF(C$2:C1936,"Masuk",G$2:G1936)-SUMIF(C$2:C1936,"Keluar",G$2:G1936))</f>
        <v/>
      </c>
    </row>
    <row r="1937">
      <c r="A1937" s="26" t="n"/>
      <c r="B1937" s="27" t="n"/>
      <c r="C1937" s="28" t="n"/>
      <c r="D1937" s="29" t="n"/>
      <c r="E1937" s="29" t="n"/>
      <c r="F1937" s="29" t="n"/>
      <c r="G1937" s="30" t="n"/>
      <c r="H1937" s="31">
        <f>IF(G1937="","",SUMIF(C$2:C1937,"Masuk",G$2:G1937)-SUMIF(C$2:C1937,"Keluar",G$2:G1937))</f>
        <v/>
      </c>
    </row>
    <row r="1938">
      <c r="A1938" s="22" t="n"/>
      <c r="B1938" s="23" t="n"/>
      <c r="C1938" s="24" t="n"/>
      <c r="D1938" s="17" t="n"/>
      <c r="E1938" s="17" t="n"/>
      <c r="F1938" s="17" t="n"/>
      <c r="G1938" s="15" t="n"/>
      <c r="H1938" s="25">
        <f>IF(G1938="","",SUMIF(C$2:C1938,"Masuk",G$2:G1938)-SUMIF(C$2:C1938,"Keluar",G$2:G1938))</f>
        <v/>
      </c>
    </row>
    <row r="1939">
      <c r="A1939" s="26" t="n"/>
      <c r="B1939" s="27" t="n"/>
      <c r="C1939" s="28" t="n"/>
      <c r="D1939" s="29" t="n"/>
      <c r="E1939" s="29" t="n"/>
      <c r="F1939" s="29" t="n"/>
      <c r="G1939" s="30" t="n"/>
      <c r="H1939" s="31">
        <f>IF(G1939="","",SUMIF(C$2:C1939,"Masuk",G$2:G1939)-SUMIF(C$2:C1939,"Keluar",G$2:G1939))</f>
        <v/>
      </c>
    </row>
    <row r="1940">
      <c r="A1940" s="22" t="n"/>
      <c r="B1940" s="23" t="n"/>
      <c r="C1940" s="24" t="n"/>
      <c r="D1940" s="17" t="n"/>
      <c r="E1940" s="17" t="n"/>
      <c r="F1940" s="17" t="n"/>
      <c r="G1940" s="15" t="n"/>
      <c r="H1940" s="25">
        <f>IF(G1940="","",SUMIF(C$2:C1940,"Masuk",G$2:G1940)-SUMIF(C$2:C1940,"Keluar",G$2:G1940))</f>
        <v/>
      </c>
    </row>
    <row r="1941">
      <c r="A1941" s="26" t="n"/>
      <c r="B1941" s="27" t="n"/>
      <c r="C1941" s="28" t="n"/>
      <c r="D1941" s="29" t="n"/>
      <c r="E1941" s="29" t="n"/>
      <c r="F1941" s="29" t="n"/>
      <c r="G1941" s="30" t="n"/>
      <c r="H1941" s="31">
        <f>IF(G1941="","",SUMIF(C$2:C1941,"Masuk",G$2:G1941)-SUMIF(C$2:C1941,"Keluar",G$2:G1941))</f>
        <v/>
      </c>
    </row>
    <row r="1942">
      <c r="A1942" s="22" t="n"/>
      <c r="B1942" s="23" t="n"/>
      <c r="C1942" s="24" t="n"/>
      <c r="D1942" s="17" t="n"/>
      <c r="E1942" s="17" t="n"/>
      <c r="F1942" s="17" t="n"/>
      <c r="G1942" s="15" t="n"/>
      <c r="H1942" s="25">
        <f>IF(G1942="","",SUMIF(C$2:C1942,"Masuk",G$2:G1942)-SUMIF(C$2:C1942,"Keluar",G$2:G1942))</f>
        <v/>
      </c>
    </row>
    <row r="1943">
      <c r="A1943" s="26" t="n"/>
      <c r="B1943" s="27" t="n"/>
      <c r="C1943" s="28" t="n"/>
      <c r="D1943" s="29" t="n"/>
      <c r="E1943" s="29" t="n"/>
      <c r="F1943" s="29" t="n"/>
      <c r="G1943" s="30" t="n"/>
      <c r="H1943" s="31">
        <f>IF(G1943="","",SUMIF(C$2:C1943,"Masuk",G$2:G1943)-SUMIF(C$2:C1943,"Keluar",G$2:G1943))</f>
        <v/>
      </c>
    </row>
    <row r="1944">
      <c r="A1944" s="22" t="n"/>
      <c r="B1944" s="23" t="n"/>
      <c r="C1944" s="24" t="n"/>
      <c r="D1944" s="17" t="n"/>
      <c r="E1944" s="17" t="n"/>
      <c r="F1944" s="17" t="n"/>
      <c r="G1944" s="15" t="n"/>
      <c r="H1944" s="25">
        <f>IF(G1944="","",SUMIF(C$2:C1944,"Masuk",G$2:G1944)-SUMIF(C$2:C1944,"Keluar",G$2:G1944))</f>
        <v/>
      </c>
    </row>
    <row r="1945">
      <c r="A1945" s="26" t="n"/>
      <c r="B1945" s="27" t="n"/>
      <c r="C1945" s="28" t="n"/>
      <c r="D1945" s="29" t="n"/>
      <c r="E1945" s="29" t="n"/>
      <c r="F1945" s="29" t="n"/>
      <c r="G1945" s="30" t="n"/>
      <c r="H1945" s="31">
        <f>IF(G1945="","",SUMIF(C$2:C1945,"Masuk",G$2:G1945)-SUMIF(C$2:C1945,"Keluar",G$2:G1945))</f>
        <v/>
      </c>
    </row>
    <row r="1946">
      <c r="A1946" s="22" t="n"/>
      <c r="B1946" s="23" t="n"/>
      <c r="C1946" s="24" t="n"/>
      <c r="D1946" s="17" t="n"/>
      <c r="E1946" s="17" t="n"/>
      <c r="F1946" s="17" t="n"/>
      <c r="G1946" s="15" t="n"/>
      <c r="H1946" s="25">
        <f>IF(G1946="","",SUMIF(C$2:C1946,"Masuk",G$2:G1946)-SUMIF(C$2:C1946,"Keluar",G$2:G1946))</f>
        <v/>
      </c>
    </row>
    <row r="1947">
      <c r="A1947" s="26" t="n"/>
      <c r="B1947" s="27" t="n"/>
      <c r="C1947" s="28" t="n"/>
      <c r="D1947" s="29" t="n"/>
      <c r="E1947" s="29" t="n"/>
      <c r="F1947" s="29" t="n"/>
      <c r="G1947" s="30" t="n"/>
      <c r="H1947" s="31">
        <f>IF(G1947="","",SUMIF(C$2:C1947,"Masuk",G$2:G1947)-SUMIF(C$2:C1947,"Keluar",G$2:G1947))</f>
        <v/>
      </c>
    </row>
    <row r="1948">
      <c r="A1948" s="22" t="n"/>
      <c r="B1948" s="23" t="n"/>
      <c r="C1948" s="24" t="n"/>
      <c r="D1948" s="17" t="n"/>
      <c r="E1948" s="17" t="n"/>
      <c r="F1948" s="17" t="n"/>
      <c r="G1948" s="15" t="n"/>
      <c r="H1948" s="25">
        <f>IF(G1948="","",SUMIF(C$2:C1948,"Masuk",G$2:G1948)-SUMIF(C$2:C1948,"Keluar",G$2:G1948))</f>
        <v/>
      </c>
    </row>
    <row r="1949">
      <c r="A1949" s="26" t="n"/>
      <c r="B1949" s="27" t="n"/>
      <c r="C1949" s="28" t="n"/>
      <c r="D1949" s="29" t="n"/>
      <c r="E1949" s="29" t="n"/>
      <c r="F1949" s="29" t="n"/>
      <c r="G1949" s="30" t="n"/>
      <c r="H1949" s="31">
        <f>IF(G1949="","",SUMIF(C$2:C1949,"Masuk",G$2:G1949)-SUMIF(C$2:C1949,"Keluar",G$2:G1949))</f>
        <v/>
      </c>
    </row>
    <row r="1950">
      <c r="A1950" s="22" t="n"/>
      <c r="B1950" s="23" t="n"/>
      <c r="C1950" s="24" t="n"/>
      <c r="D1950" s="17" t="n"/>
      <c r="E1950" s="17" t="n"/>
      <c r="F1950" s="17" t="n"/>
      <c r="G1950" s="15" t="n"/>
      <c r="H1950" s="25">
        <f>IF(G1950="","",SUMIF(C$2:C1950,"Masuk",G$2:G1950)-SUMIF(C$2:C1950,"Keluar",G$2:G1950))</f>
        <v/>
      </c>
    </row>
    <row r="1951">
      <c r="A1951" s="26" t="n"/>
      <c r="B1951" s="27" t="n"/>
      <c r="C1951" s="28" t="n"/>
      <c r="D1951" s="29" t="n"/>
      <c r="E1951" s="29" t="n"/>
      <c r="F1951" s="29" t="n"/>
      <c r="G1951" s="30" t="n"/>
      <c r="H1951" s="31">
        <f>IF(G1951="","",SUMIF(C$2:C1951,"Masuk",G$2:G1951)-SUMIF(C$2:C1951,"Keluar",G$2:G1951))</f>
        <v/>
      </c>
    </row>
    <row r="1952">
      <c r="A1952" s="22" t="n"/>
      <c r="B1952" s="23" t="n"/>
      <c r="C1952" s="24" t="n"/>
      <c r="D1952" s="17" t="n"/>
      <c r="E1952" s="17" t="n"/>
      <c r="F1952" s="17" t="n"/>
      <c r="G1952" s="15" t="n"/>
      <c r="H1952" s="25">
        <f>IF(G1952="","",SUMIF(C$2:C1952,"Masuk",G$2:G1952)-SUMIF(C$2:C1952,"Keluar",G$2:G1952))</f>
        <v/>
      </c>
    </row>
    <row r="1953">
      <c r="A1953" s="26" t="n"/>
      <c r="B1953" s="27" t="n"/>
      <c r="C1953" s="28" t="n"/>
      <c r="D1953" s="29" t="n"/>
      <c r="E1953" s="29" t="n"/>
      <c r="F1953" s="29" t="n"/>
      <c r="G1953" s="30" t="n"/>
      <c r="H1953" s="31">
        <f>IF(G1953="","",SUMIF(C$2:C1953,"Masuk",G$2:G1953)-SUMIF(C$2:C1953,"Keluar",G$2:G1953))</f>
        <v/>
      </c>
    </row>
    <row r="1954">
      <c r="A1954" s="22" t="n"/>
      <c r="B1954" s="23" t="n"/>
      <c r="C1954" s="24" t="n"/>
      <c r="D1954" s="17" t="n"/>
      <c r="E1954" s="17" t="n"/>
      <c r="F1954" s="17" t="n"/>
      <c r="G1954" s="15" t="n"/>
      <c r="H1954" s="25">
        <f>IF(G1954="","",SUMIF(C$2:C1954,"Masuk",G$2:G1954)-SUMIF(C$2:C1954,"Keluar",G$2:G1954))</f>
        <v/>
      </c>
    </row>
    <row r="1955">
      <c r="A1955" s="26" t="n"/>
      <c r="B1955" s="27" t="n"/>
      <c r="C1955" s="28" t="n"/>
      <c r="D1955" s="29" t="n"/>
      <c r="E1955" s="29" t="n"/>
      <c r="F1955" s="29" t="n"/>
      <c r="G1955" s="30" t="n"/>
      <c r="H1955" s="31">
        <f>IF(G1955="","",SUMIF(C$2:C1955,"Masuk",G$2:G1955)-SUMIF(C$2:C1955,"Keluar",G$2:G1955))</f>
        <v/>
      </c>
    </row>
    <row r="1956">
      <c r="A1956" s="22" t="n"/>
      <c r="B1956" s="23" t="n"/>
      <c r="C1956" s="24" t="n"/>
      <c r="D1956" s="17" t="n"/>
      <c r="E1956" s="17" t="n"/>
      <c r="F1956" s="17" t="n"/>
      <c r="G1956" s="15" t="n"/>
      <c r="H1956" s="25">
        <f>IF(G1956="","",SUMIF(C$2:C1956,"Masuk",G$2:G1956)-SUMIF(C$2:C1956,"Keluar",G$2:G1956))</f>
        <v/>
      </c>
    </row>
    <row r="1957">
      <c r="A1957" s="26" t="n"/>
      <c r="B1957" s="27" t="n"/>
      <c r="C1957" s="28" t="n"/>
      <c r="D1957" s="29" t="n"/>
      <c r="E1957" s="29" t="n"/>
      <c r="F1957" s="29" t="n"/>
      <c r="G1957" s="30" t="n"/>
      <c r="H1957" s="31">
        <f>IF(G1957="","",SUMIF(C$2:C1957,"Masuk",G$2:G1957)-SUMIF(C$2:C1957,"Keluar",G$2:G1957))</f>
        <v/>
      </c>
    </row>
    <row r="1958">
      <c r="A1958" s="22" t="n"/>
      <c r="B1958" s="23" t="n"/>
      <c r="C1958" s="24" t="n"/>
      <c r="D1958" s="17" t="n"/>
      <c r="E1958" s="17" t="n"/>
      <c r="F1958" s="17" t="n"/>
      <c r="G1958" s="15" t="n"/>
      <c r="H1958" s="25">
        <f>IF(G1958="","",SUMIF(C$2:C1958,"Masuk",G$2:G1958)-SUMIF(C$2:C1958,"Keluar",G$2:G1958))</f>
        <v/>
      </c>
    </row>
    <row r="1959">
      <c r="A1959" s="26" t="n"/>
      <c r="B1959" s="27" t="n"/>
      <c r="C1959" s="28" t="n"/>
      <c r="D1959" s="29" t="n"/>
      <c r="E1959" s="29" t="n"/>
      <c r="F1959" s="29" t="n"/>
      <c r="G1959" s="30" t="n"/>
      <c r="H1959" s="31">
        <f>IF(G1959="","",SUMIF(C$2:C1959,"Masuk",G$2:G1959)-SUMIF(C$2:C1959,"Keluar",G$2:G1959))</f>
        <v/>
      </c>
    </row>
    <row r="1960">
      <c r="A1960" s="22" t="n"/>
      <c r="B1960" s="23" t="n"/>
      <c r="C1960" s="24" t="n"/>
      <c r="D1960" s="17" t="n"/>
      <c r="E1960" s="17" t="n"/>
      <c r="F1960" s="17" t="n"/>
      <c r="G1960" s="15" t="n"/>
      <c r="H1960" s="25">
        <f>IF(G1960="","",SUMIF(C$2:C1960,"Masuk",G$2:G1960)-SUMIF(C$2:C1960,"Keluar",G$2:G1960))</f>
        <v/>
      </c>
    </row>
    <row r="1961">
      <c r="A1961" s="26" t="n"/>
      <c r="B1961" s="27" t="n"/>
      <c r="C1961" s="28" t="n"/>
      <c r="D1961" s="29" t="n"/>
      <c r="E1961" s="29" t="n"/>
      <c r="F1961" s="29" t="n"/>
      <c r="G1961" s="30" t="n"/>
      <c r="H1961" s="31">
        <f>IF(G1961="","",SUMIF(C$2:C1961,"Masuk",G$2:G1961)-SUMIF(C$2:C1961,"Keluar",G$2:G1961))</f>
        <v/>
      </c>
    </row>
    <row r="1962">
      <c r="A1962" s="22" t="n"/>
      <c r="B1962" s="23" t="n"/>
      <c r="C1962" s="24" t="n"/>
      <c r="D1962" s="17" t="n"/>
      <c r="E1962" s="17" t="n"/>
      <c r="F1962" s="17" t="n"/>
      <c r="G1962" s="15" t="n"/>
      <c r="H1962" s="25">
        <f>IF(G1962="","",SUMIF(C$2:C1962,"Masuk",G$2:G1962)-SUMIF(C$2:C1962,"Keluar",G$2:G1962))</f>
        <v/>
      </c>
    </row>
    <row r="1963">
      <c r="A1963" s="26" t="n"/>
      <c r="B1963" s="27" t="n"/>
      <c r="C1963" s="28" t="n"/>
      <c r="D1963" s="29" t="n"/>
      <c r="E1963" s="29" t="n"/>
      <c r="F1963" s="29" t="n"/>
      <c r="G1963" s="30" t="n"/>
      <c r="H1963" s="31">
        <f>IF(G1963="","",SUMIF(C$2:C1963,"Masuk",G$2:G1963)-SUMIF(C$2:C1963,"Keluar",G$2:G1963))</f>
        <v/>
      </c>
    </row>
    <row r="1964">
      <c r="A1964" s="22" t="n"/>
      <c r="B1964" s="23" t="n"/>
      <c r="C1964" s="24" t="n"/>
      <c r="D1964" s="17" t="n"/>
      <c r="E1964" s="17" t="n"/>
      <c r="F1964" s="17" t="n"/>
      <c r="G1964" s="15" t="n"/>
      <c r="H1964" s="25">
        <f>IF(G1964="","",SUMIF(C$2:C1964,"Masuk",G$2:G1964)-SUMIF(C$2:C1964,"Keluar",G$2:G1964))</f>
        <v/>
      </c>
    </row>
    <row r="1965">
      <c r="A1965" s="26" t="n"/>
      <c r="B1965" s="27" t="n"/>
      <c r="C1965" s="28" t="n"/>
      <c r="D1965" s="29" t="n"/>
      <c r="E1965" s="29" t="n"/>
      <c r="F1965" s="29" t="n"/>
      <c r="G1965" s="30" t="n"/>
      <c r="H1965" s="31">
        <f>IF(G1965="","",SUMIF(C$2:C1965,"Masuk",G$2:G1965)-SUMIF(C$2:C1965,"Keluar",G$2:G1965))</f>
        <v/>
      </c>
    </row>
    <row r="1966">
      <c r="A1966" s="22" t="n"/>
      <c r="B1966" s="23" t="n"/>
      <c r="C1966" s="24" t="n"/>
      <c r="D1966" s="17" t="n"/>
      <c r="E1966" s="17" t="n"/>
      <c r="F1966" s="17" t="n"/>
      <c r="G1966" s="15" t="n"/>
      <c r="H1966" s="25">
        <f>IF(G1966="","",SUMIF(C$2:C1966,"Masuk",G$2:G1966)-SUMIF(C$2:C1966,"Keluar",G$2:G1966))</f>
        <v/>
      </c>
    </row>
    <row r="1967">
      <c r="A1967" s="26" t="n"/>
      <c r="B1967" s="27" t="n"/>
      <c r="C1967" s="28" t="n"/>
      <c r="D1967" s="29" t="n"/>
      <c r="E1967" s="29" t="n"/>
      <c r="F1967" s="29" t="n"/>
      <c r="G1967" s="30" t="n"/>
      <c r="H1967" s="31">
        <f>IF(G1967="","",SUMIF(C$2:C1967,"Masuk",G$2:G1967)-SUMIF(C$2:C1967,"Keluar",G$2:G1967))</f>
        <v/>
      </c>
    </row>
    <row r="1968">
      <c r="A1968" s="22" t="n"/>
      <c r="B1968" s="23" t="n"/>
      <c r="C1968" s="24" t="n"/>
      <c r="D1968" s="17" t="n"/>
      <c r="E1968" s="17" t="n"/>
      <c r="F1968" s="17" t="n"/>
      <c r="G1968" s="15" t="n"/>
      <c r="H1968" s="25">
        <f>IF(G1968="","",SUMIF(C$2:C1968,"Masuk",G$2:G1968)-SUMIF(C$2:C1968,"Keluar",G$2:G1968))</f>
        <v/>
      </c>
    </row>
    <row r="1969">
      <c r="A1969" s="26" t="n"/>
      <c r="B1969" s="27" t="n"/>
      <c r="C1969" s="28" t="n"/>
      <c r="D1969" s="29" t="n"/>
      <c r="E1969" s="29" t="n"/>
      <c r="F1969" s="29" t="n"/>
      <c r="G1969" s="30" t="n"/>
      <c r="H1969" s="31">
        <f>IF(G1969="","",SUMIF(C$2:C1969,"Masuk",G$2:G1969)-SUMIF(C$2:C1969,"Keluar",G$2:G1969))</f>
        <v/>
      </c>
    </row>
    <row r="1970">
      <c r="A1970" s="22" t="n"/>
      <c r="B1970" s="23" t="n"/>
      <c r="C1970" s="24" t="n"/>
      <c r="D1970" s="17" t="n"/>
      <c r="E1970" s="17" t="n"/>
      <c r="F1970" s="17" t="n"/>
      <c r="G1970" s="15" t="n"/>
      <c r="H1970" s="25">
        <f>IF(G1970="","",SUMIF(C$2:C1970,"Masuk",G$2:G1970)-SUMIF(C$2:C1970,"Keluar",G$2:G1970))</f>
        <v/>
      </c>
    </row>
    <row r="1971">
      <c r="A1971" s="26" t="n"/>
      <c r="B1971" s="27" t="n"/>
      <c r="C1971" s="28" t="n"/>
      <c r="D1971" s="29" t="n"/>
      <c r="E1971" s="29" t="n"/>
      <c r="F1971" s="29" t="n"/>
      <c r="G1971" s="30" t="n"/>
      <c r="H1971" s="31">
        <f>IF(G1971="","",SUMIF(C$2:C1971,"Masuk",G$2:G1971)-SUMIF(C$2:C1971,"Keluar",G$2:G1971))</f>
        <v/>
      </c>
    </row>
    <row r="1972">
      <c r="A1972" s="22" t="n"/>
      <c r="B1972" s="23" t="n"/>
      <c r="C1972" s="24" t="n"/>
      <c r="D1972" s="17" t="n"/>
      <c r="E1972" s="17" t="n"/>
      <c r="F1972" s="17" t="n"/>
      <c r="G1972" s="15" t="n"/>
      <c r="H1972" s="25">
        <f>IF(G1972="","",SUMIF(C$2:C1972,"Masuk",G$2:G1972)-SUMIF(C$2:C1972,"Keluar",G$2:G1972))</f>
        <v/>
      </c>
    </row>
    <row r="1973">
      <c r="A1973" s="26" t="n"/>
      <c r="B1973" s="27" t="n"/>
      <c r="C1973" s="28" t="n"/>
      <c r="D1973" s="29" t="n"/>
      <c r="E1973" s="29" t="n"/>
      <c r="F1973" s="29" t="n"/>
      <c r="G1973" s="30" t="n"/>
      <c r="H1973" s="31">
        <f>IF(G1973="","",SUMIF(C$2:C1973,"Masuk",G$2:G1973)-SUMIF(C$2:C1973,"Keluar",G$2:G1973))</f>
        <v/>
      </c>
    </row>
    <row r="1974">
      <c r="A1974" s="22" t="n"/>
      <c r="B1974" s="23" t="n"/>
      <c r="C1974" s="24" t="n"/>
      <c r="D1974" s="17" t="n"/>
      <c r="E1974" s="17" t="n"/>
      <c r="F1974" s="17" t="n"/>
      <c r="G1974" s="15" t="n"/>
      <c r="H1974" s="25">
        <f>IF(G1974="","",SUMIF(C$2:C1974,"Masuk",G$2:G1974)-SUMIF(C$2:C1974,"Keluar",G$2:G1974))</f>
        <v/>
      </c>
    </row>
    <row r="1975">
      <c r="A1975" s="26" t="n"/>
      <c r="B1975" s="27" t="n"/>
      <c r="C1975" s="28" t="n"/>
      <c r="D1975" s="29" t="n"/>
      <c r="E1975" s="29" t="n"/>
      <c r="F1975" s="29" t="n"/>
      <c r="G1975" s="30" t="n"/>
      <c r="H1975" s="31">
        <f>IF(G1975="","",SUMIF(C$2:C1975,"Masuk",G$2:G1975)-SUMIF(C$2:C1975,"Keluar",G$2:G1975))</f>
        <v/>
      </c>
    </row>
    <row r="1976">
      <c r="A1976" s="22" t="n"/>
      <c r="B1976" s="23" t="n"/>
      <c r="C1976" s="24" t="n"/>
      <c r="D1976" s="17" t="n"/>
      <c r="E1976" s="17" t="n"/>
      <c r="F1976" s="17" t="n"/>
      <c r="G1976" s="15" t="n"/>
      <c r="H1976" s="25">
        <f>IF(G1976="","",SUMIF(C$2:C1976,"Masuk",G$2:G1976)-SUMIF(C$2:C1976,"Keluar",G$2:G1976))</f>
        <v/>
      </c>
    </row>
    <row r="1977">
      <c r="A1977" s="26" t="n"/>
      <c r="B1977" s="27" t="n"/>
      <c r="C1977" s="28" t="n"/>
      <c r="D1977" s="29" t="n"/>
      <c r="E1977" s="29" t="n"/>
      <c r="F1977" s="29" t="n"/>
      <c r="G1977" s="30" t="n"/>
      <c r="H1977" s="31">
        <f>IF(G1977="","",SUMIF(C$2:C1977,"Masuk",G$2:G1977)-SUMIF(C$2:C1977,"Keluar",G$2:G1977))</f>
        <v/>
      </c>
    </row>
    <row r="1978">
      <c r="A1978" s="22" t="n"/>
      <c r="B1978" s="23" t="n"/>
      <c r="C1978" s="24" t="n"/>
      <c r="D1978" s="17" t="n"/>
      <c r="E1978" s="17" t="n"/>
      <c r="F1978" s="17" t="n"/>
      <c r="G1978" s="15" t="n"/>
      <c r="H1978" s="25">
        <f>IF(G1978="","",SUMIF(C$2:C1978,"Masuk",G$2:G1978)-SUMIF(C$2:C1978,"Keluar",G$2:G1978))</f>
        <v/>
      </c>
    </row>
    <row r="1979">
      <c r="A1979" s="26" t="n"/>
      <c r="B1979" s="27" t="n"/>
      <c r="C1979" s="28" t="n"/>
      <c r="D1979" s="29" t="n"/>
      <c r="E1979" s="29" t="n"/>
      <c r="F1979" s="29" t="n"/>
      <c r="G1979" s="30" t="n"/>
      <c r="H1979" s="31">
        <f>IF(G1979="","",SUMIF(C$2:C1979,"Masuk",G$2:G1979)-SUMIF(C$2:C1979,"Keluar",G$2:G1979))</f>
        <v/>
      </c>
    </row>
    <row r="1980">
      <c r="A1980" s="22" t="n"/>
      <c r="B1980" s="23" t="n"/>
      <c r="C1980" s="24" t="n"/>
      <c r="D1980" s="17" t="n"/>
      <c r="E1980" s="17" t="n"/>
      <c r="F1980" s="17" t="n"/>
      <c r="G1980" s="15" t="n"/>
      <c r="H1980" s="25">
        <f>IF(G1980="","",SUMIF(C$2:C1980,"Masuk",G$2:G1980)-SUMIF(C$2:C1980,"Keluar",G$2:G1980))</f>
        <v/>
      </c>
    </row>
    <row r="1981">
      <c r="A1981" s="26" t="n"/>
      <c r="B1981" s="27" t="n"/>
      <c r="C1981" s="28" t="n"/>
      <c r="D1981" s="29" t="n"/>
      <c r="E1981" s="29" t="n"/>
      <c r="F1981" s="29" t="n"/>
      <c r="G1981" s="30" t="n"/>
      <c r="H1981" s="31">
        <f>IF(G1981="","",SUMIF(C$2:C1981,"Masuk",G$2:G1981)-SUMIF(C$2:C1981,"Keluar",G$2:G1981))</f>
        <v/>
      </c>
    </row>
    <row r="1982">
      <c r="A1982" s="22" t="n"/>
      <c r="B1982" s="23" t="n"/>
      <c r="C1982" s="24" t="n"/>
      <c r="D1982" s="17" t="n"/>
      <c r="E1982" s="17" t="n"/>
      <c r="F1982" s="17" t="n"/>
      <c r="G1982" s="15" t="n"/>
      <c r="H1982" s="25">
        <f>IF(G1982="","",SUMIF(C$2:C1982,"Masuk",G$2:G1982)-SUMIF(C$2:C1982,"Keluar",G$2:G1982))</f>
        <v/>
      </c>
    </row>
    <row r="1983">
      <c r="A1983" s="26" t="n"/>
      <c r="B1983" s="27" t="n"/>
      <c r="C1983" s="28" t="n"/>
      <c r="D1983" s="29" t="n"/>
      <c r="E1983" s="29" t="n"/>
      <c r="F1983" s="29" t="n"/>
      <c r="G1983" s="30" t="n"/>
      <c r="H1983" s="31">
        <f>IF(G1983="","",SUMIF(C$2:C1983,"Masuk",G$2:G1983)-SUMIF(C$2:C1983,"Keluar",G$2:G1983))</f>
        <v/>
      </c>
    </row>
    <row r="1984">
      <c r="A1984" s="22" t="n"/>
      <c r="B1984" s="23" t="n"/>
      <c r="C1984" s="24" t="n"/>
      <c r="D1984" s="17" t="n"/>
      <c r="E1984" s="17" t="n"/>
      <c r="F1984" s="17" t="n"/>
      <c r="G1984" s="15" t="n"/>
      <c r="H1984" s="25">
        <f>IF(G1984="","",SUMIF(C$2:C1984,"Masuk",G$2:G1984)-SUMIF(C$2:C1984,"Keluar",G$2:G1984))</f>
        <v/>
      </c>
    </row>
    <row r="1985">
      <c r="A1985" s="26" t="n"/>
      <c r="B1985" s="27" t="n"/>
      <c r="C1985" s="28" t="n"/>
      <c r="D1985" s="29" t="n"/>
      <c r="E1985" s="29" t="n"/>
      <c r="F1985" s="29" t="n"/>
      <c r="G1985" s="30" t="n"/>
      <c r="H1985" s="31">
        <f>IF(G1985="","",SUMIF(C$2:C1985,"Masuk",G$2:G1985)-SUMIF(C$2:C1985,"Keluar",G$2:G1985))</f>
        <v/>
      </c>
    </row>
    <row r="1986">
      <c r="A1986" s="22" t="n"/>
      <c r="B1986" s="23" t="n"/>
      <c r="C1986" s="24" t="n"/>
      <c r="D1986" s="17" t="n"/>
      <c r="E1986" s="17" t="n"/>
      <c r="F1986" s="17" t="n"/>
      <c r="G1986" s="15" t="n"/>
      <c r="H1986" s="25">
        <f>IF(G1986="","",SUMIF(C$2:C1986,"Masuk",G$2:G1986)-SUMIF(C$2:C1986,"Keluar",G$2:G1986))</f>
        <v/>
      </c>
    </row>
    <row r="1987">
      <c r="A1987" s="26" t="n"/>
      <c r="B1987" s="27" t="n"/>
      <c r="C1987" s="28" t="n"/>
      <c r="D1987" s="29" t="n"/>
      <c r="E1987" s="29" t="n"/>
      <c r="F1987" s="29" t="n"/>
      <c r="G1987" s="30" t="n"/>
      <c r="H1987" s="31">
        <f>IF(G1987="","",SUMIF(C$2:C1987,"Masuk",G$2:G1987)-SUMIF(C$2:C1987,"Keluar",G$2:G1987))</f>
        <v/>
      </c>
    </row>
    <row r="1988">
      <c r="A1988" s="22" t="n"/>
      <c r="B1988" s="23" t="n"/>
      <c r="C1988" s="24" t="n"/>
      <c r="D1988" s="17" t="n"/>
      <c r="E1988" s="17" t="n"/>
      <c r="F1988" s="17" t="n"/>
      <c r="G1988" s="15" t="n"/>
      <c r="H1988" s="25">
        <f>IF(G1988="","",SUMIF(C$2:C1988,"Masuk",G$2:G1988)-SUMIF(C$2:C1988,"Keluar",G$2:G1988))</f>
        <v/>
      </c>
    </row>
    <row r="1989">
      <c r="A1989" s="26" t="n"/>
      <c r="B1989" s="27" t="n"/>
      <c r="C1989" s="28" t="n"/>
      <c r="D1989" s="29" t="n"/>
      <c r="E1989" s="29" t="n"/>
      <c r="F1989" s="29" t="n"/>
      <c r="G1989" s="30" t="n"/>
      <c r="H1989" s="31">
        <f>IF(G1989="","",SUMIF(C$2:C1989,"Masuk",G$2:G1989)-SUMIF(C$2:C1989,"Keluar",G$2:G1989))</f>
        <v/>
      </c>
    </row>
    <row r="1990">
      <c r="A1990" s="22" t="n"/>
      <c r="B1990" s="23" t="n"/>
      <c r="C1990" s="24" t="n"/>
      <c r="D1990" s="17" t="n"/>
      <c r="E1990" s="17" t="n"/>
      <c r="F1990" s="17" t="n"/>
      <c r="G1990" s="15" t="n"/>
      <c r="H1990" s="25">
        <f>IF(G1990="","",SUMIF(C$2:C1990,"Masuk",G$2:G1990)-SUMIF(C$2:C1990,"Keluar",G$2:G1990))</f>
        <v/>
      </c>
    </row>
    <row r="1991">
      <c r="A1991" s="26" t="n"/>
      <c r="B1991" s="27" t="n"/>
      <c r="C1991" s="28" t="n"/>
      <c r="D1991" s="29" t="n"/>
      <c r="E1991" s="29" t="n"/>
      <c r="F1991" s="29" t="n"/>
      <c r="G1991" s="30" t="n"/>
      <c r="H1991" s="31">
        <f>IF(G1991="","",SUMIF(C$2:C1991,"Masuk",G$2:G1991)-SUMIF(C$2:C1991,"Keluar",G$2:G1991))</f>
        <v/>
      </c>
    </row>
    <row r="1992">
      <c r="A1992" s="22" t="n"/>
      <c r="B1992" s="23" t="n"/>
      <c r="C1992" s="24" t="n"/>
      <c r="D1992" s="17" t="n"/>
      <c r="E1992" s="17" t="n"/>
      <c r="F1992" s="17" t="n"/>
      <c r="G1992" s="15" t="n"/>
      <c r="H1992" s="25">
        <f>IF(G1992="","",SUMIF(C$2:C1992,"Masuk",G$2:G1992)-SUMIF(C$2:C1992,"Keluar",G$2:G1992))</f>
        <v/>
      </c>
    </row>
    <row r="1993">
      <c r="A1993" s="26" t="n"/>
      <c r="B1993" s="27" t="n"/>
      <c r="C1993" s="28" t="n"/>
      <c r="D1993" s="29" t="n"/>
      <c r="E1993" s="29" t="n"/>
      <c r="F1993" s="29" t="n"/>
      <c r="G1993" s="30" t="n"/>
      <c r="H1993" s="31">
        <f>IF(G1993="","",SUMIF(C$2:C1993,"Masuk",G$2:G1993)-SUMIF(C$2:C1993,"Keluar",G$2:G1993))</f>
        <v/>
      </c>
    </row>
    <row r="1994">
      <c r="A1994" s="22" t="n"/>
      <c r="B1994" s="23" t="n"/>
      <c r="C1994" s="24" t="n"/>
      <c r="D1994" s="17" t="n"/>
      <c r="E1994" s="17" t="n"/>
      <c r="F1994" s="17" t="n"/>
      <c r="G1994" s="15" t="n"/>
      <c r="H1994" s="25">
        <f>IF(G1994="","",SUMIF(C$2:C1994,"Masuk",G$2:G1994)-SUMIF(C$2:C1994,"Keluar",G$2:G1994))</f>
        <v/>
      </c>
    </row>
    <row r="1995">
      <c r="A1995" s="26" t="n"/>
      <c r="B1995" s="27" t="n"/>
      <c r="C1995" s="28" t="n"/>
      <c r="D1995" s="29" t="n"/>
      <c r="E1995" s="29" t="n"/>
      <c r="F1995" s="29" t="n"/>
      <c r="G1995" s="30" t="n"/>
      <c r="H1995" s="31">
        <f>IF(G1995="","",SUMIF(C$2:C1995,"Masuk",G$2:G1995)-SUMIF(C$2:C1995,"Keluar",G$2:G1995))</f>
        <v/>
      </c>
    </row>
    <row r="1996">
      <c r="A1996" s="22" t="n"/>
      <c r="B1996" s="23" t="n"/>
      <c r="C1996" s="24" t="n"/>
      <c r="D1996" s="17" t="n"/>
      <c r="E1996" s="17" t="n"/>
      <c r="F1996" s="17" t="n"/>
      <c r="G1996" s="15" t="n"/>
      <c r="H1996" s="25">
        <f>IF(G1996="","",SUMIF(C$2:C1996,"Masuk",G$2:G1996)-SUMIF(C$2:C1996,"Keluar",G$2:G1996))</f>
        <v/>
      </c>
    </row>
    <row r="1997">
      <c r="A1997" s="26" t="n"/>
      <c r="B1997" s="27" t="n"/>
      <c r="C1997" s="28" t="n"/>
      <c r="D1997" s="29" t="n"/>
      <c r="E1997" s="29" t="n"/>
      <c r="F1997" s="29" t="n"/>
      <c r="G1997" s="30" t="n"/>
      <c r="H1997" s="31">
        <f>IF(G1997="","",SUMIF(C$2:C1997,"Masuk",G$2:G1997)-SUMIF(C$2:C1997,"Keluar",G$2:G1997))</f>
        <v/>
      </c>
    </row>
    <row r="1998">
      <c r="A1998" s="22" t="n"/>
      <c r="B1998" s="23" t="n"/>
      <c r="C1998" s="24" t="n"/>
      <c r="D1998" s="17" t="n"/>
      <c r="E1998" s="17" t="n"/>
      <c r="F1998" s="17" t="n"/>
      <c r="G1998" s="15" t="n"/>
      <c r="H1998" s="25">
        <f>IF(G1998="","",SUMIF(C$2:C1998,"Masuk",G$2:G1998)-SUMIF(C$2:C1998,"Keluar",G$2:G1998))</f>
        <v/>
      </c>
    </row>
    <row r="1999">
      <c r="A1999" s="26" t="n"/>
      <c r="B1999" s="27" t="n"/>
      <c r="C1999" s="28" t="n"/>
      <c r="D1999" s="29" t="n"/>
      <c r="E1999" s="29" t="n"/>
      <c r="F1999" s="29" t="n"/>
      <c r="G1999" s="30" t="n"/>
      <c r="H1999" s="31">
        <f>IF(G1999="","",SUMIF(C$2:C1999,"Masuk",G$2:G1999)-SUMIF(C$2:C1999,"Keluar",G$2:G1999))</f>
        <v/>
      </c>
    </row>
    <row r="2000">
      <c r="A2000" s="22" t="n"/>
      <c r="B2000" s="23" t="n"/>
      <c r="C2000" s="24" t="n"/>
      <c r="D2000" s="17" t="n"/>
      <c r="E2000" s="17" t="n"/>
      <c r="F2000" s="17" t="n"/>
      <c r="G2000" s="15" t="n"/>
      <c r="H2000" s="25">
        <f>IF(G2000="","",SUMIF(C$2:C2000,"Masuk",G$2:G2000)-SUMIF(C$2:C2000,"Keluar",G$2:G2000))</f>
        <v/>
      </c>
    </row>
    <row r="2001">
      <c r="A2001" s="26" t="n"/>
      <c r="B2001" s="27" t="n"/>
      <c r="C2001" s="28" t="n"/>
      <c r="D2001" s="29" t="n"/>
      <c r="E2001" s="29" t="n"/>
      <c r="F2001" s="29" t="n"/>
      <c r="G2001" s="30" t="n"/>
      <c r="H2001" s="31">
        <f>IF(G2001="","",SUMIF(C$2:C2001,"Masuk",G$2:G2001)-SUMIF(C$2:C2001,"Keluar",G$2:G2001))</f>
        <v/>
      </c>
    </row>
    <row r="2002">
      <c r="A2002" s="22" t="n"/>
      <c r="B2002" s="23" t="n"/>
      <c r="C2002" s="24" t="n"/>
      <c r="D2002" s="17" t="n"/>
      <c r="E2002" s="17" t="n"/>
      <c r="F2002" s="17" t="n"/>
      <c r="G2002" s="15" t="n"/>
      <c r="H2002" s="25">
        <f>IF(G2002="","",SUMIF(C$2:C2002,"Masuk",G$2:G2002)-SUMIF(C$2:C2002,"Keluar",G$2:G2002))</f>
        <v/>
      </c>
    </row>
    <row r="2003">
      <c r="A2003" s="26" t="n"/>
      <c r="B2003" s="27" t="n"/>
      <c r="C2003" s="28" t="n"/>
      <c r="D2003" s="29" t="n"/>
      <c r="E2003" s="29" t="n"/>
      <c r="F2003" s="29" t="n"/>
      <c r="G2003" s="30" t="n"/>
      <c r="H2003" s="31">
        <f>IF(G2003="","",SUMIF(C$2:C2003,"Masuk",G$2:G2003)-SUMIF(C$2:C2003,"Keluar",G$2:G2003))</f>
        <v/>
      </c>
    </row>
    <row r="2004">
      <c r="A2004" s="22" t="n"/>
      <c r="B2004" s="23" t="n"/>
      <c r="C2004" s="24" t="n"/>
      <c r="D2004" s="17" t="n"/>
      <c r="E2004" s="17" t="n"/>
      <c r="F2004" s="17" t="n"/>
      <c r="G2004" s="15" t="n"/>
      <c r="H2004" s="25">
        <f>IF(G2004="","",SUMIF(C$2:C2004,"Masuk",G$2:G2004)-SUMIF(C$2:C2004,"Keluar",G$2:G2004))</f>
        <v/>
      </c>
    </row>
    <row r="2005">
      <c r="A2005" s="26" t="n"/>
      <c r="B2005" s="27" t="n"/>
      <c r="C2005" s="28" t="n"/>
      <c r="D2005" s="29" t="n"/>
      <c r="E2005" s="29" t="n"/>
      <c r="F2005" s="29" t="n"/>
      <c r="G2005" s="30" t="n"/>
      <c r="H2005" s="31">
        <f>IF(G2005="","",SUMIF(C$2:C2005,"Masuk",G$2:G2005)-SUMIF(C$2:C2005,"Keluar",G$2:G2005))</f>
        <v/>
      </c>
    </row>
    <row r="2006">
      <c r="A2006" s="22" t="n"/>
      <c r="B2006" s="23" t="n"/>
      <c r="C2006" s="24" t="n"/>
      <c r="D2006" s="17" t="n"/>
      <c r="E2006" s="17" t="n"/>
      <c r="F2006" s="17" t="n"/>
      <c r="G2006" s="15" t="n"/>
      <c r="H2006" s="25">
        <f>IF(G2006="","",SUMIF(C$2:C2006,"Masuk",G$2:G2006)-SUMIF(C$2:C2006,"Keluar",G$2:G2006))</f>
        <v/>
      </c>
    </row>
    <row r="2007">
      <c r="A2007" s="26" t="n"/>
      <c r="B2007" s="27" t="n"/>
      <c r="C2007" s="28" t="n"/>
      <c r="D2007" s="29" t="n"/>
      <c r="E2007" s="29" t="n"/>
      <c r="F2007" s="29" t="n"/>
      <c r="G2007" s="30" t="n"/>
      <c r="H2007" s="31">
        <f>IF(G2007="","",SUMIF(C$2:C2007,"Masuk",G$2:G2007)-SUMIF(C$2:C2007,"Keluar",G$2:G2007))</f>
        <v/>
      </c>
    </row>
    <row r="2008">
      <c r="A2008" s="22" t="n"/>
      <c r="B2008" s="23" t="n"/>
      <c r="C2008" s="24" t="n"/>
      <c r="D2008" s="17" t="n"/>
      <c r="E2008" s="17" t="n"/>
      <c r="F2008" s="17" t="n"/>
      <c r="G2008" s="15" t="n"/>
      <c r="H2008" s="25">
        <f>IF(G2008="","",SUMIF(C$2:C2008,"Masuk",G$2:G2008)-SUMIF(C$2:C2008,"Keluar",G$2:G2008))</f>
        <v/>
      </c>
    </row>
    <row r="2009">
      <c r="A2009" s="26" t="n"/>
      <c r="B2009" s="27" t="n"/>
      <c r="C2009" s="28" t="n"/>
      <c r="D2009" s="29" t="n"/>
      <c r="E2009" s="29" t="n"/>
      <c r="F2009" s="29" t="n"/>
      <c r="G2009" s="30" t="n"/>
      <c r="H2009" s="31">
        <f>IF(G2009="","",SUMIF(C$2:C2009,"Masuk",G$2:G2009)-SUMIF(C$2:C2009,"Keluar",G$2:G2009))</f>
        <v/>
      </c>
    </row>
    <row r="2010">
      <c r="A2010" s="22" t="n"/>
      <c r="B2010" s="23" t="n"/>
      <c r="C2010" s="24" t="n"/>
      <c r="D2010" s="17" t="n"/>
      <c r="E2010" s="17" t="n"/>
      <c r="F2010" s="17" t="n"/>
      <c r="G2010" s="15" t="n"/>
      <c r="H2010" s="25">
        <f>IF(G2010="","",SUMIF(C$2:C2010,"Masuk",G$2:G2010)-SUMIF(C$2:C2010,"Keluar",G$2:G2010))</f>
        <v/>
      </c>
    </row>
    <row r="2011">
      <c r="A2011" s="26" t="n"/>
      <c r="B2011" s="27" t="n"/>
      <c r="C2011" s="28" t="n"/>
      <c r="D2011" s="29" t="n"/>
      <c r="E2011" s="29" t="n"/>
      <c r="F2011" s="29" t="n"/>
      <c r="G2011" s="30" t="n"/>
      <c r="H2011" s="31">
        <f>IF(G2011="","",SUMIF(C$2:C2011,"Masuk",G$2:G2011)-SUMIF(C$2:C2011,"Keluar",G$2:G2011))</f>
        <v/>
      </c>
    </row>
    <row r="2012">
      <c r="A2012" s="22" t="n"/>
      <c r="B2012" s="23" t="n"/>
      <c r="C2012" s="24" t="n"/>
      <c r="D2012" s="17" t="n"/>
      <c r="E2012" s="17" t="n"/>
      <c r="F2012" s="17" t="n"/>
      <c r="G2012" s="15" t="n"/>
      <c r="H2012" s="25">
        <f>IF(G2012="","",SUMIF(C$2:C2012,"Masuk",G$2:G2012)-SUMIF(C$2:C2012,"Keluar",G$2:G2012))</f>
        <v/>
      </c>
    </row>
    <row r="2013">
      <c r="A2013" s="26" t="n"/>
      <c r="B2013" s="27" t="n"/>
      <c r="C2013" s="28" t="n"/>
      <c r="D2013" s="29" t="n"/>
      <c r="E2013" s="29" t="n"/>
      <c r="F2013" s="29" t="n"/>
      <c r="G2013" s="30" t="n"/>
      <c r="H2013" s="31">
        <f>IF(G2013="","",SUMIF(C$2:C2013,"Masuk",G$2:G2013)-SUMIF(C$2:C2013,"Keluar",G$2:G2013))</f>
        <v/>
      </c>
    </row>
    <row r="2014">
      <c r="A2014" s="22" t="n"/>
      <c r="B2014" s="23" t="n"/>
      <c r="C2014" s="24" t="n"/>
      <c r="D2014" s="17" t="n"/>
      <c r="E2014" s="17" t="n"/>
      <c r="F2014" s="17" t="n"/>
      <c r="G2014" s="15" t="n"/>
      <c r="H2014" s="25">
        <f>IF(G2014="","",SUMIF(C$2:C2014,"Masuk",G$2:G2014)-SUMIF(C$2:C2014,"Keluar",G$2:G2014))</f>
        <v/>
      </c>
    </row>
    <row r="2015">
      <c r="A2015" s="26" t="n"/>
      <c r="B2015" s="27" t="n"/>
      <c r="C2015" s="28" t="n"/>
      <c r="D2015" s="29" t="n"/>
      <c r="E2015" s="29" t="n"/>
      <c r="F2015" s="29" t="n"/>
      <c r="G2015" s="30" t="n"/>
      <c r="H2015" s="31">
        <f>IF(G2015="","",SUMIF(C$2:C2015,"Masuk",G$2:G2015)-SUMIF(C$2:C2015,"Keluar",G$2:G2015))</f>
        <v/>
      </c>
    </row>
    <row r="2016">
      <c r="A2016" s="22" t="n"/>
      <c r="B2016" s="23" t="n"/>
      <c r="C2016" s="24" t="n"/>
      <c r="D2016" s="17" t="n"/>
      <c r="E2016" s="17" t="n"/>
      <c r="F2016" s="17" t="n"/>
      <c r="G2016" s="15" t="n"/>
      <c r="H2016" s="25">
        <f>IF(G2016="","",SUMIF(C$2:C2016,"Masuk",G$2:G2016)-SUMIF(C$2:C2016,"Keluar",G$2:G2016))</f>
        <v/>
      </c>
    </row>
    <row r="2017">
      <c r="A2017" s="26" t="n"/>
      <c r="B2017" s="27" t="n"/>
      <c r="C2017" s="28" t="n"/>
      <c r="D2017" s="29" t="n"/>
      <c r="E2017" s="29" t="n"/>
      <c r="F2017" s="29" t="n"/>
      <c r="G2017" s="30" t="n"/>
      <c r="H2017" s="31">
        <f>IF(G2017="","",SUMIF(C$2:C2017,"Masuk",G$2:G2017)-SUMIF(C$2:C2017,"Keluar",G$2:G2017))</f>
        <v/>
      </c>
    </row>
    <row r="2018">
      <c r="A2018" s="22" t="n"/>
      <c r="B2018" s="23" t="n"/>
      <c r="C2018" s="24" t="n"/>
      <c r="D2018" s="17" t="n"/>
      <c r="E2018" s="17" t="n"/>
      <c r="F2018" s="17" t="n"/>
      <c r="G2018" s="15" t="n"/>
      <c r="H2018" s="25">
        <f>IF(G2018="","",SUMIF(C$2:C2018,"Masuk",G$2:G2018)-SUMIF(C$2:C2018,"Keluar",G$2:G2018))</f>
        <v/>
      </c>
    </row>
    <row r="2019">
      <c r="A2019" s="26" t="n"/>
      <c r="B2019" s="27" t="n"/>
      <c r="C2019" s="28" t="n"/>
      <c r="D2019" s="29" t="n"/>
      <c r="E2019" s="29" t="n"/>
      <c r="F2019" s="29" t="n"/>
      <c r="G2019" s="30" t="n"/>
      <c r="H2019" s="31">
        <f>IF(G2019="","",SUMIF(C$2:C2019,"Masuk",G$2:G2019)-SUMIF(C$2:C2019,"Keluar",G$2:G2019))</f>
        <v/>
      </c>
    </row>
    <row r="2020">
      <c r="A2020" s="22" t="n"/>
      <c r="B2020" s="23" t="n"/>
      <c r="C2020" s="24" t="n"/>
      <c r="D2020" s="17" t="n"/>
      <c r="E2020" s="17" t="n"/>
      <c r="F2020" s="17" t="n"/>
      <c r="G2020" s="15" t="n"/>
      <c r="H2020" s="25">
        <f>IF(G2020="","",SUMIF(C$2:C2020,"Masuk",G$2:G2020)-SUMIF(C$2:C2020,"Keluar",G$2:G2020))</f>
        <v/>
      </c>
    </row>
    <row r="2021">
      <c r="A2021" s="26" t="n"/>
      <c r="B2021" s="27" t="n"/>
      <c r="C2021" s="28" t="n"/>
      <c r="D2021" s="29" t="n"/>
      <c r="E2021" s="29" t="n"/>
      <c r="F2021" s="29" t="n"/>
      <c r="G2021" s="30" t="n"/>
      <c r="H2021" s="31">
        <f>IF(G2021="","",SUMIF(C$2:C2021,"Masuk",G$2:G2021)-SUMIF(C$2:C2021,"Keluar",G$2:G2021))</f>
        <v/>
      </c>
    </row>
    <row r="2022">
      <c r="A2022" s="22" t="n"/>
      <c r="B2022" s="23" t="n"/>
      <c r="C2022" s="24" t="n"/>
      <c r="D2022" s="17" t="n"/>
      <c r="E2022" s="17" t="n"/>
      <c r="F2022" s="17" t="n"/>
      <c r="G2022" s="15" t="n"/>
      <c r="H2022" s="25">
        <f>IF(G2022="","",SUMIF(C$2:C2022,"Masuk",G$2:G2022)-SUMIF(C$2:C2022,"Keluar",G$2:G2022))</f>
        <v/>
      </c>
    </row>
    <row r="2023">
      <c r="A2023" s="26" t="n"/>
      <c r="B2023" s="27" t="n"/>
      <c r="C2023" s="28" t="n"/>
      <c r="D2023" s="29" t="n"/>
      <c r="E2023" s="29" t="n"/>
      <c r="F2023" s="29" t="n"/>
      <c r="G2023" s="30" t="n"/>
      <c r="H2023" s="31">
        <f>IF(G2023="","",SUMIF(C$2:C2023,"Masuk",G$2:G2023)-SUMIF(C$2:C2023,"Keluar",G$2:G2023))</f>
        <v/>
      </c>
    </row>
    <row r="2024">
      <c r="A2024" s="22" t="n"/>
      <c r="B2024" s="23" t="n"/>
      <c r="C2024" s="24" t="n"/>
      <c r="D2024" s="17" t="n"/>
      <c r="E2024" s="17" t="n"/>
      <c r="F2024" s="17" t="n"/>
      <c r="G2024" s="15" t="n"/>
      <c r="H2024" s="25">
        <f>IF(G2024="","",SUMIF(C$2:C2024,"Masuk",G$2:G2024)-SUMIF(C$2:C2024,"Keluar",G$2:G2024))</f>
        <v/>
      </c>
    </row>
    <row r="2025">
      <c r="A2025" s="26" t="n"/>
      <c r="B2025" s="27" t="n"/>
      <c r="C2025" s="28" t="n"/>
      <c r="D2025" s="29" t="n"/>
      <c r="E2025" s="29" t="n"/>
      <c r="F2025" s="29" t="n"/>
      <c r="G2025" s="30" t="n"/>
      <c r="H2025" s="31">
        <f>IF(G2025="","",SUMIF(C$2:C2025,"Masuk",G$2:G2025)-SUMIF(C$2:C2025,"Keluar",G$2:G2025))</f>
        <v/>
      </c>
    </row>
    <row r="2026">
      <c r="A2026" s="22" t="n"/>
      <c r="B2026" s="23" t="n"/>
      <c r="C2026" s="24" t="n"/>
      <c r="D2026" s="17" t="n"/>
      <c r="E2026" s="17" t="n"/>
      <c r="F2026" s="17" t="n"/>
      <c r="G2026" s="15" t="n"/>
      <c r="H2026" s="25">
        <f>IF(G2026="","",SUMIF(C$2:C2026,"Masuk",G$2:G2026)-SUMIF(C$2:C2026,"Keluar",G$2:G2026))</f>
        <v/>
      </c>
    </row>
    <row r="2027">
      <c r="A2027" s="26" t="n"/>
      <c r="B2027" s="27" t="n"/>
      <c r="C2027" s="28" t="n"/>
      <c r="D2027" s="29" t="n"/>
      <c r="E2027" s="29" t="n"/>
      <c r="F2027" s="29" t="n"/>
      <c r="G2027" s="30" t="n"/>
      <c r="H2027" s="31">
        <f>IF(G2027="","",SUMIF(C$2:C2027,"Masuk",G$2:G2027)-SUMIF(C$2:C2027,"Keluar",G$2:G2027))</f>
        <v/>
      </c>
    </row>
    <row r="2028">
      <c r="A2028" s="22" t="n"/>
      <c r="B2028" s="23" t="n"/>
      <c r="C2028" s="24" t="n"/>
      <c r="D2028" s="17" t="n"/>
      <c r="E2028" s="17" t="n"/>
      <c r="F2028" s="17" t="n"/>
      <c r="G2028" s="15" t="n"/>
      <c r="H2028" s="25">
        <f>IF(G2028="","",SUMIF(C$2:C2028,"Masuk",G$2:G2028)-SUMIF(C$2:C2028,"Keluar",G$2:G2028))</f>
        <v/>
      </c>
    </row>
    <row r="2029">
      <c r="A2029" s="26" t="n"/>
      <c r="B2029" s="27" t="n"/>
      <c r="C2029" s="28" t="n"/>
      <c r="D2029" s="29" t="n"/>
      <c r="E2029" s="29" t="n"/>
      <c r="F2029" s="29" t="n"/>
      <c r="G2029" s="30" t="n"/>
      <c r="H2029" s="31">
        <f>IF(G2029="","",SUMIF(C$2:C2029,"Masuk",G$2:G2029)-SUMIF(C$2:C2029,"Keluar",G$2:G2029))</f>
        <v/>
      </c>
    </row>
    <row r="2030">
      <c r="A2030" s="22" t="n"/>
      <c r="B2030" s="23" t="n"/>
      <c r="C2030" s="24" t="n"/>
      <c r="D2030" s="17" t="n"/>
      <c r="E2030" s="17" t="n"/>
      <c r="F2030" s="17" t="n"/>
      <c r="G2030" s="15" t="n"/>
      <c r="H2030" s="25">
        <f>IF(G2030="","",SUMIF(C$2:C2030,"Masuk",G$2:G2030)-SUMIF(C$2:C2030,"Keluar",G$2:G2030))</f>
        <v/>
      </c>
    </row>
    <row r="2031">
      <c r="A2031" s="26" t="n"/>
      <c r="B2031" s="27" t="n"/>
      <c r="C2031" s="28" t="n"/>
      <c r="D2031" s="29" t="n"/>
      <c r="E2031" s="29" t="n"/>
      <c r="F2031" s="29" t="n"/>
      <c r="G2031" s="30" t="n"/>
      <c r="H2031" s="31">
        <f>IF(G2031="","",SUMIF(C$2:C2031,"Masuk",G$2:G2031)-SUMIF(C$2:C2031,"Keluar",G$2:G2031))</f>
        <v/>
      </c>
    </row>
    <row r="2032">
      <c r="A2032" s="22" t="n"/>
      <c r="B2032" s="23" t="n"/>
      <c r="C2032" s="24" t="n"/>
      <c r="D2032" s="17" t="n"/>
      <c r="E2032" s="17" t="n"/>
      <c r="F2032" s="17" t="n"/>
      <c r="G2032" s="15" t="n"/>
      <c r="H2032" s="25">
        <f>IF(G2032="","",SUMIF(C$2:C2032,"Masuk",G$2:G2032)-SUMIF(C$2:C2032,"Keluar",G$2:G2032))</f>
        <v/>
      </c>
    </row>
    <row r="2033">
      <c r="A2033" s="26" t="n"/>
      <c r="B2033" s="27" t="n"/>
      <c r="C2033" s="28" t="n"/>
      <c r="D2033" s="29" t="n"/>
      <c r="E2033" s="29" t="n"/>
      <c r="F2033" s="29" t="n"/>
      <c r="G2033" s="30" t="n"/>
      <c r="H2033" s="31">
        <f>IF(G2033="","",SUMIF(C$2:C2033,"Masuk",G$2:G2033)-SUMIF(C$2:C2033,"Keluar",G$2:G2033))</f>
        <v/>
      </c>
    </row>
    <row r="2034">
      <c r="A2034" s="22" t="n"/>
      <c r="B2034" s="23" t="n"/>
      <c r="C2034" s="24" t="n"/>
      <c r="D2034" s="17" t="n"/>
      <c r="E2034" s="17" t="n"/>
      <c r="F2034" s="17" t="n"/>
      <c r="G2034" s="15" t="n"/>
      <c r="H2034" s="25">
        <f>IF(G2034="","",SUMIF(C$2:C2034,"Masuk",G$2:G2034)-SUMIF(C$2:C2034,"Keluar",G$2:G2034))</f>
        <v/>
      </c>
    </row>
    <row r="2035">
      <c r="A2035" s="26" t="n"/>
      <c r="B2035" s="27" t="n"/>
      <c r="C2035" s="28" t="n"/>
      <c r="D2035" s="29" t="n"/>
      <c r="E2035" s="29" t="n"/>
      <c r="F2035" s="29" t="n"/>
      <c r="G2035" s="30" t="n"/>
      <c r="H2035" s="31">
        <f>IF(G2035="","",SUMIF(C$2:C2035,"Masuk",G$2:G2035)-SUMIF(C$2:C2035,"Keluar",G$2:G2035))</f>
        <v/>
      </c>
    </row>
    <row r="2036">
      <c r="A2036" s="22" t="n"/>
      <c r="B2036" s="23" t="n"/>
      <c r="C2036" s="24" t="n"/>
      <c r="D2036" s="17" t="n"/>
      <c r="E2036" s="17" t="n"/>
      <c r="F2036" s="17" t="n"/>
      <c r="G2036" s="15" t="n"/>
      <c r="H2036" s="25">
        <f>IF(G2036="","",SUMIF(C$2:C2036,"Masuk",G$2:G2036)-SUMIF(C$2:C2036,"Keluar",G$2:G2036))</f>
        <v/>
      </c>
    </row>
    <row r="2037">
      <c r="A2037" s="26" t="n"/>
      <c r="B2037" s="27" t="n"/>
      <c r="C2037" s="28" t="n"/>
      <c r="D2037" s="29" t="n"/>
      <c r="E2037" s="29" t="n"/>
      <c r="F2037" s="29" t="n"/>
      <c r="G2037" s="30" t="n"/>
      <c r="H2037" s="31">
        <f>IF(G2037="","",SUMIF(C$2:C2037,"Masuk",G$2:G2037)-SUMIF(C$2:C2037,"Keluar",G$2:G2037))</f>
        <v/>
      </c>
    </row>
    <row r="2038">
      <c r="A2038" s="22" t="n"/>
      <c r="B2038" s="23" t="n"/>
      <c r="C2038" s="24" t="n"/>
      <c r="D2038" s="17" t="n"/>
      <c r="E2038" s="17" t="n"/>
      <c r="F2038" s="17" t="n"/>
      <c r="G2038" s="15" t="n"/>
      <c r="H2038" s="25">
        <f>IF(G2038="","",SUMIF(C$2:C2038,"Masuk",G$2:G2038)-SUMIF(C$2:C2038,"Keluar",G$2:G2038))</f>
        <v/>
      </c>
    </row>
    <row r="2039">
      <c r="A2039" s="26" t="n"/>
      <c r="B2039" s="27" t="n"/>
      <c r="C2039" s="28" t="n"/>
      <c r="D2039" s="29" t="n"/>
      <c r="E2039" s="29" t="n"/>
      <c r="F2039" s="29" t="n"/>
      <c r="G2039" s="30" t="n"/>
      <c r="H2039" s="31">
        <f>IF(G2039="","",SUMIF(C$2:C2039,"Masuk",G$2:G2039)-SUMIF(C$2:C2039,"Keluar",G$2:G2039))</f>
        <v/>
      </c>
    </row>
    <row r="2040">
      <c r="A2040" s="22" t="n"/>
      <c r="B2040" s="23" t="n"/>
      <c r="C2040" s="24" t="n"/>
      <c r="D2040" s="17" t="n"/>
      <c r="E2040" s="17" t="n"/>
      <c r="F2040" s="17" t="n"/>
      <c r="G2040" s="15" t="n"/>
      <c r="H2040" s="25">
        <f>IF(G2040="","",SUMIF(C$2:C2040,"Masuk",G$2:G2040)-SUMIF(C$2:C2040,"Keluar",G$2:G2040))</f>
        <v/>
      </c>
    </row>
    <row r="2041">
      <c r="A2041" s="26" t="n"/>
      <c r="B2041" s="27" t="n"/>
      <c r="C2041" s="28" t="n"/>
      <c r="D2041" s="29" t="n"/>
      <c r="E2041" s="29" t="n"/>
      <c r="F2041" s="29" t="n"/>
      <c r="G2041" s="30" t="n"/>
      <c r="H2041" s="31">
        <f>IF(G2041="","",SUMIF(C$2:C2041,"Masuk",G$2:G2041)-SUMIF(C$2:C2041,"Keluar",G$2:G2041))</f>
        <v/>
      </c>
    </row>
    <row r="2042">
      <c r="A2042" s="22" t="n"/>
      <c r="B2042" s="23" t="n"/>
      <c r="C2042" s="24" t="n"/>
      <c r="D2042" s="17" t="n"/>
      <c r="E2042" s="17" t="n"/>
      <c r="F2042" s="17" t="n"/>
      <c r="G2042" s="15" t="n"/>
      <c r="H2042" s="25">
        <f>IF(G2042="","",SUMIF(C$2:C2042,"Masuk",G$2:G2042)-SUMIF(C$2:C2042,"Keluar",G$2:G2042))</f>
        <v/>
      </c>
    </row>
    <row r="2043">
      <c r="A2043" s="26" t="n"/>
      <c r="B2043" s="27" t="n"/>
      <c r="C2043" s="28" t="n"/>
      <c r="D2043" s="29" t="n"/>
      <c r="E2043" s="29" t="n"/>
      <c r="F2043" s="29" t="n"/>
      <c r="G2043" s="30" t="n"/>
      <c r="H2043" s="31">
        <f>IF(G2043="","",SUMIF(C$2:C2043,"Masuk",G$2:G2043)-SUMIF(C$2:C2043,"Keluar",G$2:G2043))</f>
        <v/>
      </c>
    </row>
    <row r="2044">
      <c r="A2044" s="22" t="n"/>
      <c r="B2044" s="23" t="n"/>
      <c r="C2044" s="24" t="n"/>
      <c r="D2044" s="17" t="n"/>
      <c r="E2044" s="17" t="n"/>
      <c r="F2044" s="17" t="n"/>
      <c r="G2044" s="15" t="n"/>
      <c r="H2044" s="25">
        <f>IF(G2044="","",SUMIF(C$2:C2044,"Masuk",G$2:G2044)-SUMIF(C$2:C2044,"Keluar",G$2:G2044))</f>
        <v/>
      </c>
    </row>
    <row r="2045">
      <c r="A2045" s="26" t="n"/>
      <c r="B2045" s="27" t="n"/>
      <c r="C2045" s="28" t="n"/>
      <c r="D2045" s="29" t="n"/>
      <c r="E2045" s="29" t="n"/>
      <c r="F2045" s="29" t="n"/>
      <c r="G2045" s="30" t="n"/>
      <c r="H2045" s="31">
        <f>IF(G2045="","",SUMIF(C$2:C2045,"Masuk",G$2:G2045)-SUMIF(C$2:C2045,"Keluar",G$2:G2045))</f>
        <v/>
      </c>
    </row>
    <row r="2046">
      <c r="A2046" s="22" t="n"/>
      <c r="B2046" s="23" t="n"/>
      <c r="C2046" s="24" t="n"/>
      <c r="D2046" s="17" t="n"/>
      <c r="E2046" s="17" t="n"/>
      <c r="F2046" s="17" t="n"/>
      <c r="G2046" s="15" t="n"/>
      <c r="H2046" s="25">
        <f>IF(G2046="","",SUMIF(C$2:C2046,"Masuk",G$2:G2046)-SUMIF(C$2:C2046,"Keluar",G$2:G2046))</f>
        <v/>
      </c>
    </row>
    <row r="2047">
      <c r="A2047" s="26" t="n"/>
      <c r="B2047" s="27" t="n"/>
      <c r="C2047" s="28" t="n"/>
      <c r="D2047" s="29" t="n"/>
      <c r="E2047" s="29" t="n"/>
      <c r="F2047" s="29" t="n"/>
      <c r="G2047" s="30" t="n"/>
      <c r="H2047" s="31">
        <f>IF(G2047="","",SUMIF(C$2:C2047,"Masuk",G$2:G2047)-SUMIF(C$2:C2047,"Keluar",G$2:G2047))</f>
        <v/>
      </c>
    </row>
    <row r="2048">
      <c r="A2048" s="22" t="n"/>
      <c r="B2048" s="23" t="n"/>
      <c r="C2048" s="24" t="n"/>
      <c r="D2048" s="17" t="n"/>
      <c r="E2048" s="17" t="n"/>
      <c r="F2048" s="17" t="n"/>
      <c r="G2048" s="15" t="n"/>
      <c r="H2048" s="25">
        <f>IF(G2048="","",SUMIF(C$2:C2048,"Masuk",G$2:G2048)-SUMIF(C$2:C2048,"Keluar",G$2:G2048))</f>
        <v/>
      </c>
    </row>
    <row r="2049">
      <c r="A2049" s="26" t="n"/>
      <c r="B2049" s="27" t="n"/>
      <c r="C2049" s="28" t="n"/>
      <c r="D2049" s="29" t="n"/>
      <c r="E2049" s="29" t="n"/>
      <c r="F2049" s="29" t="n"/>
      <c r="G2049" s="30" t="n"/>
      <c r="H2049" s="31">
        <f>IF(G2049="","",SUMIF(C$2:C2049,"Masuk",G$2:G2049)-SUMIF(C$2:C2049,"Keluar",G$2:G2049))</f>
        <v/>
      </c>
    </row>
    <row r="2050">
      <c r="A2050" s="22" t="n"/>
      <c r="B2050" s="23" t="n"/>
      <c r="C2050" s="24" t="n"/>
      <c r="D2050" s="17" t="n"/>
      <c r="E2050" s="17" t="n"/>
      <c r="F2050" s="17" t="n"/>
      <c r="G2050" s="15" t="n"/>
      <c r="H2050" s="25">
        <f>IF(G2050="","",SUMIF(C$2:C2050,"Masuk",G$2:G2050)-SUMIF(C$2:C2050,"Keluar",G$2:G2050))</f>
        <v/>
      </c>
    </row>
    <row r="2051">
      <c r="A2051" s="26" t="n"/>
      <c r="B2051" s="27" t="n"/>
      <c r="C2051" s="28" t="n"/>
      <c r="D2051" s="29" t="n"/>
      <c r="E2051" s="29" t="n"/>
      <c r="F2051" s="29" t="n"/>
      <c r="G2051" s="30" t="n"/>
      <c r="H2051" s="31">
        <f>IF(G2051="","",SUMIF(C$2:C2051,"Masuk",G$2:G2051)-SUMIF(C$2:C2051,"Keluar",G$2:G2051))</f>
        <v/>
      </c>
    </row>
    <row r="2052">
      <c r="A2052" s="22" t="n"/>
      <c r="B2052" s="23" t="n"/>
      <c r="C2052" s="24" t="n"/>
      <c r="D2052" s="17" t="n"/>
      <c r="E2052" s="17" t="n"/>
      <c r="F2052" s="17" t="n"/>
      <c r="G2052" s="15" t="n"/>
      <c r="H2052" s="25">
        <f>IF(G2052="","",SUMIF(C$2:C2052,"Masuk",G$2:G2052)-SUMIF(C$2:C2052,"Keluar",G$2:G2052))</f>
        <v/>
      </c>
    </row>
    <row r="2053">
      <c r="A2053" s="26" t="n"/>
      <c r="B2053" s="27" t="n"/>
      <c r="C2053" s="28" t="n"/>
      <c r="D2053" s="29" t="n"/>
      <c r="E2053" s="29" t="n"/>
      <c r="F2053" s="29" t="n"/>
      <c r="G2053" s="30" t="n"/>
      <c r="H2053" s="31">
        <f>IF(G2053="","",SUMIF(C$2:C2053,"Masuk",G$2:G2053)-SUMIF(C$2:C2053,"Keluar",G$2:G2053))</f>
        <v/>
      </c>
    </row>
    <row r="2054">
      <c r="A2054" s="22" t="n"/>
      <c r="B2054" s="23" t="n"/>
      <c r="C2054" s="24" t="n"/>
      <c r="D2054" s="17" t="n"/>
      <c r="E2054" s="17" t="n"/>
      <c r="F2054" s="17" t="n"/>
      <c r="G2054" s="15" t="n"/>
      <c r="H2054" s="25">
        <f>IF(G2054="","",SUMIF(C$2:C2054,"Masuk",G$2:G2054)-SUMIF(C$2:C2054,"Keluar",G$2:G2054))</f>
        <v/>
      </c>
    </row>
    <row r="2055">
      <c r="A2055" s="26" t="n"/>
      <c r="B2055" s="27" t="n"/>
      <c r="C2055" s="28" t="n"/>
      <c r="D2055" s="29" t="n"/>
      <c r="E2055" s="29" t="n"/>
      <c r="F2055" s="29" t="n"/>
      <c r="G2055" s="30" t="n"/>
      <c r="H2055" s="31">
        <f>IF(G2055="","",SUMIF(C$2:C2055,"Masuk",G$2:G2055)-SUMIF(C$2:C2055,"Keluar",G$2:G2055))</f>
        <v/>
      </c>
    </row>
    <row r="2056">
      <c r="A2056" s="22" t="n"/>
      <c r="B2056" s="23" t="n"/>
      <c r="C2056" s="24" t="n"/>
      <c r="D2056" s="17" t="n"/>
      <c r="E2056" s="17" t="n"/>
      <c r="F2056" s="17" t="n"/>
      <c r="G2056" s="15" t="n"/>
      <c r="H2056" s="25">
        <f>IF(G2056="","",SUMIF(C$2:C2056,"Masuk",G$2:G2056)-SUMIF(C$2:C2056,"Keluar",G$2:G2056))</f>
        <v/>
      </c>
    </row>
    <row r="2057">
      <c r="A2057" s="26" t="n"/>
      <c r="B2057" s="27" t="n"/>
      <c r="C2057" s="28" t="n"/>
      <c r="D2057" s="29" t="n"/>
      <c r="E2057" s="29" t="n"/>
      <c r="F2057" s="29" t="n"/>
      <c r="G2057" s="30" t="n"/>
      <c r="H2057" s="31">
        <f>IF(G2057="","",SUMIF(C$2:C2057,"Masuk",G$2:G2057)-SUMIF(C$2:C2057,"Keluar",G$2:G2057))</f>
        <v/>
      </c>
    </row>
    <row r="2058">
      <c r="A2058" s="22" t="n"/>
      <c r="B2058" s="23" t="n"/>
      <c r="C2058" s="24" t="n"/>
      <c r="D2058" s="17" t="n"/>
      <c r="E2058" s="17" t="n"/>
      <c r="F2058" s="17" t="n"/>
      <c r="G2058" s="15" t="n"/>
      <c r="H2058" s="25">
        <f>IF(G2058="","",SUMIF(C$2:C2058,"Masuk",G$2:G2058)-SUMIF(C$2:C2058,"Keluar",G$2:G2058))</f>
        <v/>
      </c>
    </row>
    <row r="2059">
      <c r="A2059" s="26" t="n"/>
      <c r="B2059" s="27" t="n"/>
      <c r="C2059" s="28" t="n"/>
      <c r="D2059" s="29" t="n"/>
      <c r="E2059" s="29" t="n"/>
      <c r="F2059" s="29" t="n"/>
      <c r="G2059" s="30" t="n"/>
      <c r="H2059" s="31">
        <f>IF(G2059="","",SUMIF(C$2:C2059,"Masuk",G$2:G2059)-SUMIF(C$2:C2059,"Keluar",G$2:G2059))</f>
        <v/>
      </c>
    </row>
    <row r="2060">
      <c r="A2060" s="22" t="n"/>
      <c r="B2060" s="23" t="n"/>
      <c r="C2060" s="24" t="n"/>
      <c r="D2060" s="17" t="n"/>
      <c r="E2060" s="17" t="n"/>
      <c r="F2060" s="17" t="n"/>
      <c r="G2060" s="15" t="n"/>
      <c r="H2060" s="25">
        <f>IF(G2060="","",SUMIF(C$2:C2060,"Masuk",G$2:G2060)-SUMIF(C$2:C2060,"Keluar",G$2:G2060))</f>
        <v/>
      </c>
    </row>
    <row r="2061">
      <c r="A2061" s="26" t="n"/>
      <c r="B2061" s="27" t="n"/>
      <c r="C2061" s="28" t="n"/>
      <c r="D2061" s="29" t="n"/>
      <c r="E2061" s="29" t="n"/>
      <c r="F2061" s="29" t="n"/>
      <c r="G2061" s="30" t="n"/>
      <c r="H2061" s="31">
        <f>IF(G2061="","",SUMIF(C$2:C2061,"Masuk",G$2:G2061)-SUMIF(C$2:C2061,"Keluar",G$2:G2061))</f>
        <v/>
      </c>
    </row>
    <row r="2062">
      <c r="A2062" s="22" t="n"/>
      <c r="B2062" s="23" t="n"/>
      <c r="C2062" s="24" t="n"/>
      <c r="D2062" s="17" t="n"/>
      <c r="E2062" s="17" t="n"/>
      <c r="F2062" s="17" t="n"/>
      <c r="G2062" s="15" t="n"/>
      <c r="H2062" s="25">
        <f>IF(G2062="","",SUMIF(C$2:C2062,"Masuk",G$2:G2062)-SUMIF(C$2:C2062,"Keluar",G$2:G2062))</f>
        <v/>
      </c>
    </row>
    <row r="2063">
      <c r="A2063" s="26" t="n"/>
      <c r="B2063" s="27" t="n"/>
      <c r="C2063" s="28" t="n"/>
      <c r="D2063" s="29" t="n"/>
      <c r="E2063" s="29" t="n"/>
      <c r="F2063" s="29" t="n"/>
      <c r="G2063" s="30" t="n"/>
      <c r="H2063" s="31">
        <f>IF(G2063="","",SUMIF(C$2:C2063,"Masuk",G$2:G2063)-SUMIF(C$2:C2063,"Keluar",G$2:G2063))</f>
        <v/>
      </c>
    </row>
    <row r="2064">
      <c r="A2064" s="22" t="n"/>
      <c r="B2064" s="23" t="n"/>
      <c r="C2064" s="24" t="n"/>
      <c r="D2064" s="17" t="n"/>
      <c r="E2064" s="17" t="n"/>
      <c r="F2064" s="17" t="n"/>
      <c r="G2064" s="15" t="n"/>
      <c r="H2064" s="25">
        <f>IF(G2064="","",SUMIF(C$2:C2064,"Masuk",G$2:G2064)-SUMIF(C$2:C2064,"Keluar",G$2:G2064))</f>
        <v/>
      </c>
    </row>
    <row r="2065">
      <c r="A2065" s="26" t="n"/>
      <c r="B2065" s="27" t="n"/>
      <c r="C2065" s="28" t="n"/>
      <c r="D2065" s="29" t="n"/>
      <c r="E2065" s="29" t="n"/>
      <c r="F2065" s="29" t="n"/>
      <c r="G2065" s="30" t="n"/>
      <c r="H2065" s="31">
        <f>IF(G2065="","",SUMIF(C$2:C2065,"Masuk",G$2:G2065)-SUMIF(C$2:C2065,"Keluar",G$2:G2065))</f>
        <v/>
      </c>
    </row>
    <row r="2066">
      <c r="A2066" s="22" t="n"/>
      <c r="B2066" s="23" t="n"/>
      <c r="C2066" s="24" t="n"/>
      <c r="D2066" s="17" t="n"/>
      <c r="E2066" s="17" t="n"/>
      <c r="F2066" s="17" t="n"/>
      <c r="G2066" s="15" t="n"/>
      <c r="H2066" s="25">
        <f>IF(G2066="","",SUMIF(C$2:C2066,"Masuk",G$2:G2066)-SUMIF(C$2:C2066,"Keluar",G$2:G2066))</f>
        <v/>
      </c>
    </row>
    <row r="2067">
      <c r="A2067" s="26" t="n"/>
      <c r="B2067" s="27" t="n"/>
      <c r="C2067" s="28" t="n"/>
      <c r="D2067" s="29" t="n"/>
      <c r="E2067" s="29" t="n"/>
      <c r="F2067" s="29" t="n"/>
      <c r="G2067" s="30" t="n"/>
      <c r="H2067" s="31">
        <f>IF(G2067="","",SUMIF(C$2:C2067,"Masuk",G$2:G2067)-SUMIF(C$2:C2067,"Keluar",G$2:G2067))</f>
        <v/>
      </c>
    </row>
    <row r="2068">
      <c r="A2068" s="22" t="n"/>
      <c r="B2068" s="23" t="n"/>
      <c r="C2068" s="24" t="n"/>
      <c r="D2068" s="17" t="n"/>
      <c r="E2068" s="17" t="n"/>
      <c r="F2068" s="17" t="n"/>
      <c r="G2068" s="15" t="n"/>
      <c r="H2068" s="25">
        <f>IF(G2068="","",SUMIF(C$2:C2068,"Masuk",G$2:G2068)-SUMIF(C$2:C2068,"Keluar",G$2:G2068))</f>
        <v/>
      </c>
    </row>
    <row r="2069">
      <c r="A2069" s="26" t="n"/>
      <c r="B2069" s="27" t="n"/>
      <c r="C2069" s="28" t="n"/>
      <c r="D2069" s="29" t="n"/>
      <c r="E2069" s="29" t="n"/>
      <c r="F2069" s="29" t="n"/>
      <c r="G2069" s="30" t="n"/>
      <c r="H2069" s="31">
        <f>IF(G2069="","",SUMIF(C$2:C2069,"Masuk",G$2:G2069)-SUMIF(C$2:C2069,"Keluar",G$2:G2069))</f>
        <v/>
      </c>
    </row>
    <row r="2070">
      <c r="A2070" s="22" t="n"/>
      <c r="B2070" s="23" t="n"/>
      <c r="C2070" s="24" t="n"/>
      <c r="D2070" s="17" t="n"/>
      <c r="E2070" s="17" t="n"/>
      <c r="F2070" s="17" t="n"/>
      <c r="G2070" s="15" t="n"/>
      <c r="H2070" s="25">
        <f>IF(G2070="","",SUMIF(C$2:C2070,"Masuk",G$2:G2070)-SUMIF(C$2:C2070,"Keluar",G$2:G2070))</f>
        <v/>
      </c>
    </row>
    <row r="2071">
      <c r="A2071" s="26" t="n"/>
      <c r="B2071" s="27" t="n"/>
      <c r="C2071" s="28" t="n"/>
      <c r="D2071" s="29" t="n"/>
      <c r="E2071" s="29" t="n"/>
      <c r="F2071" s="29" t="n"/>
      <c r="G2071" s="30" t="n"/>
      <c r="H2071" s="31">
        <f>IF(G2071="","",SUMIF(C$2:C2071,"Masuk",G$2:G2071)-SUMIF(C$2:C2071,"Keluar",G$2:G2071))</f>
        <v/>
      </c>
    </row>
    <row r="2072">
      <c r="A2072" s="22" t="n"/>
      <c r="B2072" s="23" t="n"/>
      <c r="C2072" s="24" t="n"/>
      <c r="D2072" s="17" t="n"/>
      <c r="E2072" s="17" t="n"/>
      <c r="F2072" s="17" t="n"/>
      <c r="G2072" s="15" t="n"/>
      <c r="H2072" s="25">
        <f>IF(G2072="","",SUMIF(C$2:C2072,"Masuk",G$2:G2072)-SUMIF(C$2:C2072,"Keluar",G$2:G2072))</f>
        <v/>
      </c>
    </row>
    <row r="2073">
      <c r="A2073" s="26" t="n"/>
      <c r="B2073" s="27" t="n"/>
      <c r="C2073" s="28" t="n"/>
      <c r="D2073" s="29" t="n"/>
      <c r="E2073" s="29" t="n"/>
      <c r="F2073" s="29" t="n"/>
      <c r="G2073" s="30" t="n"/>
      <c r="H2073" s="31">
        <f>IF(G2073="","",SUMIF(C$2:C2073,"Masuk",G$2:G2073)-SUMIF(C$2:C2073,"Keluar",G$2:G2073))</f>
        <v/>
      </c>
    </row>
    <row r="2074">
      <c r="A2074" s="22" t="n"/>
      <c r="B2074" s="23" t="n"/>
      <c r="C2074" s="24" t="n"/>
      <c r="D2074" s="17" t="n"/>
      <c r="E2074" s="17" t="n"/>
      <c r="F2074" s="17" t="n"/>
      <c r="G2074" s="15" t="n"/>
      <c r="H2074" s="25">
        <f>IF(G2074="","",SUMIF(C$2:C2074,"Masuk",G$2:G2074)-SUMIF(C$2:C2074,"Keluar",G$2:G2074))</f>
        <v/>
      </c>
    </row>
    <row r="2075">
      <c r="A2075" s="26" t="n"/>
      <c r="B2075" s="27" t="n"/>
      <c r="C2075" s="28" t="n"/>
      <c r="D2075" s="29" t="n"/>
      <c r="E2075" s="29" t="n"/>
      <c r="F2075" s="29" t="n"/>
      <c r="G2075" s="30" t="n"/>
      <c r="H2075" s="31">
        <f>IF(G2075="","",SUMIF(C$2:C2075,"Masuk",G$2:G2075)-SUMIF(C$2:C2075,"Keluar",G$2:G2075))</f>
        <v/>
      </c>
    </row>
    <row r="2076">
      <c r="A2076" s="22" t="n"/>
      <c r="B2076" s="23" t="n"/>
      <c r="C2076" s="24" t="n"/>
      <c r="D2076" s="17" t="n"/>
      <c r="E2076" s="17" t="n"/>
      <c r="F2076" s="17" t="n"/>
      <c r="G2076" s="15" t="n"/>
      <c r="H2076" s="25">
        <f>IF(G2076="","",SUMIF(C$2:C2076,"Masuk",G$2:G2076)-SUMIF(C$2:C2076,"Keluar",G$2:G2076))</f>
        <v/>
      </c>
    </row>
    <row r="2077">
      <c r="A2077" s="26" t="n"/>
      <c r="B2077" s="27" t="n"/>
      <c r="C2077" s="28" t="n"/>
      <c r="D2077" s="29" t="n"/>
      <c r="E2077" s="29" t="n"/>
      <c r="F2077" s="29" t="n"/>
      <c r="G2077" s="30" t="n"/>
      <c r="H2077" s="31">
        <f>IF(G2077="","",SUMIF(C$2:C2077,"Masuk",G$2:G2077)-SUMIF(C$2:C2077,"Keluar",G$2:G2077))</f>
        <v/>
      </c>
    </row>
    <row r="2078">
      <c r="A2078" s="22" t="n"/>
      <c r="B2078" s="23" t="n"/>
      <c r="C2078" s="24" t="n"/>
      <c r="D2078" s="17" t="n"/>
      <c r="E2078" s="17" t="n"/>
      <c r="F2078" s="17" t="n"/>
      <c r="G2078" s="15" t="n"/>
      <c r="H2078" s="25">
        <f>IF(G2078="","",SUMIF(C$2:C2078,"Masuk",G$2:G2078)-SUMIF(C$2:C2078,"Keluar",G$2:G2078))</f>
        <v/>
      </c>
    </row>
    <row r="2079">
      <c r="A2079" s="26" t="n"/>
      <c r="B2079" s="27" t="n"/>
      <c r="C2079" s="28" t="n"/>
      <c r="D2079" s="29" t="n"/>
      <c r="E2079" s="29" t="n"/>
      <c r="F2079" s="29" t="n"/>
      <c r="G2079" s="30" t="n"/>
      <c r="H2079" s="31">
        <f>IF(G2079="","",SUMIF(C$2:C2079,"Masuk",G$2:G2079)-SUMIF(C$2:C2079,"Keluar",G$2:G2079))</f>
        <v/>
      </c>
    </row>
    <row r="2080">
      <c r="A2080" s="22" t="n"/>
      <c r="B2080" s="23" t="n"/>
      <c r="C2080" s="24" t="n"/>
      <c r="D2080" s="17" t="n"/>
      <c r="E2080" s="17" t="n"/>
      <c r="F2080" s="17" t="n"/>
      <c r="G2080" s="15" t="n"/>
      <c r="H2080" s="25">
        <f>IF(G2080="","",SUMIF(C$2:C2080,"Masuk",G$2:G2080)-SUMIF(C$2:C2080,"Keluar",G$2:G2080))</f>
        <v/>
      </c>
    </row>
    <row r="2081">
      <c r="A2081" s="26" t="n"/>
      <c r="B2081" s="27" t="n"/>
      <c r="C2081" s="28" t="n"/>
      <c r="D2081" s="29" t="n"/>
      <c r="E2081" s="29" t="n"/>
      <c r="F2081" s="29" t="n"/>
      <c r="G2081" s="30" t="n"/>
      <c r="H2081" s="31">
        <f>IF(G2081="","",SUMIF(C$2:C2081,"Masuk",G$2:G2081)-SUMIF(C$2:C2081,"Keluar",G$2:G2081))</f>
        <v/>
      </c>
    </row>
    <row r="2082">
      <c r="A2082" s="22" t="n"/>
      <c r="B2082" s="23" t="n"/>
      <c r="C2082" s="24" t="n"/>
      <c r="D2082" s="17" t="n"/>
      <c r="E2082" s="17" t="n"/>
      <c r="F2082" s="17" t="n"/>
      <c r="G2082" s="15" t="n"/>
      <c r="H2082" s="25">
        <f>IF(G2082="","",SUMIF(C$2:C2082,"Masuk",G$2:G2082)-SUMIF(C$2:C2082,"Keluar",G$2:G2082))</f>
        <v/>
      </c>
    </row>
    <row r="2083">
      <c r="A2083" s="26" t="n"/>
      <c r="B2083" s="27" t="n"/>
      <c r="C2083" s="28" t="n"/>
      <c r="D2083" s="29" t="n"/>
      <c r="E2083" s="29" t="n"/>
      <c r="F2083" s="29" t="n"/>
      <c r="G2083" s="30" t="n"/>
      <c r="H2083" s="31">
        <f>IF(G2083="","",SUMIF(C$2:C2083,"Masuk",G$2:G2083)-SUMIF(C$2:C2083,"Keluar",G$2:G2083))</f>
        <v/>
      </c>
    </row>
    <row r="2084">
      <c r="A2084" s="22" t="n"/>
      <c r="B2084" s="23" t="n"/>
      <c r="C2084" s="24" t="n"/>
      <c r="D2084" s="17" t="n"/>
      <c r="E2084" s="17" t="n"/>
      <c r="F2084" s="17" t="n"/>
      <c r="G2084" s="15" t="n"/>
      <c r="H2084" s="25">
        <f>IF(G2084="","",SUMIF(C$2:C2084,"Masuk",G$2:G2084)-SUMIF(C$2:C2084,"Keluar",G$2:G2084))</f>
        <v/>
      </c>
    </row>
    <row r="2085">
      <c r="A2085" s="26" t="n"/>
      <c r="B2085" s="27" t="n"/>
      <c r="C2085" s="28" t="n"/>
      <c r="D2085" s="29" t="n"/>
      <c r="E2085" s="29" t="n"/>
      <c r="F2085" s="29" t="n"/>
      <c r="G2085" s="30" t="n"/>
      <c r="H2085" s="31">
        <f>IF(G2085="","",SUMIF(C$2:C2085,"Masuk",G$2:G2085)-SUMIF(C$2:C2085,"Keluar",G$2:G2085))</f>
        <v/>
      </c>
    </row>
    <row r="2086">
      <c r="A2086" s="22" t="n"/>
      <c r="B2086" s="23" t="n"/>
      <c r="C2086" s="24" t="n"/>
      <c r="D2086" s="17" t="n"/>
      <c r="E2086" s="17" t="n"/>
      <c r="F2086" s="17" t="n"/>
      <c r="G2086" s="15" t="n"/>
      <c r="H2086" s="25">
        <f>IF(G2086="","",SUMIF(C$2:C2086,"Masuk",G$2:G2086)-SUMIF(C$2:C2086,"Keluar",G$2:G2086))</f>
        <v/>
      </c>
    </row>
    <row r="2087">
      <c r="A2087" s="26" t="n"/>
      <c r="B2087" s="27" t="n"/>
      <c r="C2087" s="28" t="n"/>
      <c r="D2087" s="29" t="n"/>
      <c r="E2087" s="29" t="n"/>
      <c r="F2087" s="29" t="n"/>
      <c r="G2087" s="30" t="n"/>
      <c r="H2087" s="31">
        <f>IF(G2087="","",SUMIF(C$2:C2087,"Masuk",G$2:G2087)-SUMIF(C$2:C2087,"Keluar",G$2:G2087))</f>
        <v/>
      </c>
    </row>
    <row r="2088">
      <c r="A2088" s="22" t="n"/>
      <c r="B2088" s="23" t="n"/>
      <c r="C2088" s="24" t="n"/>
      <c r="D2088" s="17" t="n"/>
      <c r="E2088" s="17" t="n"/>
      <c r="F2088" s="17" t="n"/>
      <c r="G2088" s="15" t="n"/>
      <c r="H2088" s="25">
        <f>IF(G2088="","",SUMIF(C$2:C2088,"Masuk",G$2:G2088)-SUMIF(C$2:C2088,"Keluar",G$2:G2088))</f>
        <v/>
      </c>
    </row>
    <row r="2089">
      <c r="A2089" s="26" t="n"/>
      <c r="B2089" s="27" t="n"/>
      <c r="C2089" s="28" t="n"/>
      <c r="D2089" s="29" t="n"/>
      <c r="E2089" s="29" t="n"/>
      <c r="F2089" s="29" t="n"/>
      <c r="G2089" s="30" t="n"/>
      <c r="H2089" s="31">
        <f>IF(G2089="","",SUMIF(C$2:C2089,"Masuk",G$2:G2089)-SUMIF(C$2:C2089,"Keluar",G$2:G2089))</f>
        <v/>
      </c>
    </row>
    <row r="2090">
      <c r="A2090" s="22" t="n"/>
      <c r="B2090" s="23" t="n"/>
      <c r="C2090" s="24" t="n"/>
      <c r="D2090" s="17" t="n"/>
      <c r="E2090" s="17" t="n"/>
      <c r="F2090" s="17" t="n"/>
      <c r="G2090" s="15" t="n"/>
      <c r="H2090" s="25">
        <f>IF(G2090="","",SUMIF(C$2:C2090,"Masuk",G$2:G2090)-SUMIF(C$2:C2090,"Keluar",G$2:G2090))</f>
        <v/>
      </c>
    </row>
    <row r="2091">
      <c r="A2091" s="26" t="n"/>
      <c r="B2091" s="27" t="n"/>
      <c r="C2091" s="28" t="n"/>
      <c r="D2091" s="29" t="n"/>
      <c r="E2091" s="29" t="n"/>
      <c r="F2091" s="29" t="n"/>
      <c r="G2091" s="30" t="n"/>
      <c r="H2091" s="31">
        <f>IF(G2091="","",SUMIF(C$2:C2091,"Masuk",G$2:G2091)-SUMIF(C$2:C2091,"Keluar",G$2:G2091))</f>
        <v/>
      </c>
    </row>
    <row r="2092">
      <c r="A2092" s="22" t="n"/>
      <c r="B2092" s="23" t="n"/>
      <c r="C2092" s="24" t="n"/>
      <c r="D2092" s="17" t="n"/>
      <c r="E2092" s="17" t="n"/>
      <c r="F2092" s="17" t="n"/>
      <c r="G2092" s="15" t="n"/>
      <c r="H2092" s="25">
        <f>IF(G2092="","",SUMIF(C$2:C2092,"Masuk",G$2:G2092)-SUMIF(C$2:C2092,"Keluar",G$2:G2092))</f>
        <v/>
      </c>
    </row>
    <row r="2093">
      <c r="A2093" s="26" t="n"/>
      <c r="B2093" s="27" t="n"/>
      <c r="C2093" s="28" t="n"/>
      <c r="D2093" s="29" t="n"/>
      <c r="E2093" s="29" t="n"/>
      <c r="F2093" s="29" t="n"/>
      <c r="G2093" s="30" t="n"/>
      <c r="H2093" s="31">
        <f>IF(G2093="","",SUMIF(C$2:C2093,"Masuk",G$2:G2093)-SUMIF(C$2:C2093,"Keluar",G$2:G2093))</f>
        <v/>
      </c>
    </row>
    <row r="2094">
      <c r="A2094" s="22" t="n"/>
      <c r="B2094" s="23" t="n"/>
      <c r="C2094" s="24" t="n"/>
      <c r="D2094" s="17" t="n"/>
      <c r="E2094" s="17" t="n"/>
      <c r="F2094" s="17" t="n"/>
      <c r="G2094" s="15" t="n"/>
      <c r="H2094" s="25">
        <f>IF(G2094="","",SUMIF(C$2:C2094,"Masuk",G$2:G2094)-SUMIF(C$2:C2094,"Keluar",G$2:G2094))</f>
        <v/>
      </c>
    </row>
    <row r="2095">
      <c r="A2095" s="26" t="n"/>
      <c r="B2095" s="27" t="n"/>
      <c r="C2095" s="28" t="n"/>
      <c r="D2095" s="29" t="n"/>
      <c r="E2095" s="29" t="n"/>
      <c r="F2095" s="29" t="n"/>
      <c r="G2095" s="30" t="n"/>
      <c r="H2095" s="31">
        <f>IF(G2095="","",SUMIF(C$2:C2095,"Masuk",G$2:G2095)-SUMIF(C$2:C2095,"Keluar",G$2:G2095))</f>
        <v/>
      </c>
    </row>
    <row r="2096">
      <c r="A2096" s="22" t="n"/>
      <c r="B2096" s="23" t="n"/>
      <c r="C2096" s="24" t="n"/>
      <c r="D2096" s="17" t="n"/>
      <c r="E2096" s="17" t="n"/>
      <c r="F2096" s="17" t="n"/>
      <c r="G2096" s="15" t="n"/>
      <c r="H2096" s="25">
        <f>IF(G2096="","",SUMIF(C$2:C2096,"Masuk",G$2:G2096)-SUMIF(C$2:C2096,"Keluar",G$2:G2096))</f>
        <v/>
      </c>
    </row>
    <row r="2097">
      <c r="A2097" s="26" t="n"/>
      <c r="B2097" s="27" t="n"/>
      <c r="C2097" s="28" t="n"/>
      <c r="D2097" s="29" t="n"/>
      <c r="E2097" s="29" t="n"/>
      <c r="F2097" s="29" t="n"/>
      <c r="G2097" s="30" t="n"/>
      <c r="H2097" s="31">
        <f>IF(G2097="","",SUMIF(C$2:C2097,"Masuk",G$2:G2097)-SUMIF(C$2:C2097,"Keluar",G$2:G2097))</f>
        <v/>
      </c>
    </row>
    <row r="2098">
      <c r="A2098" s="22" t="n"/>
      <c r="B2098" s="23" t="n"/>
      <c r="C2098" s="24" t="n"/>
      <c r="D2098" s="17" t="n"/>
      <c r="E2098" s="17" t="n"/>
      <c r="F2098" s="17" t="n"/>
      <c r="G2098" s="15" t="n"/>
      <c r="H2098" s="25">
        <f>IF(G2098="","",SUMIF(C$2:C2098,"Masuk",G$2:G2098)-SUMIF(C$2:C2098,"Keluar",G$2:G2098))</f>
        <v/>
      </c>
    </row>
    <row r="2099">
      <c r="A2099" s="26" t="n"/>
      <c r="B2099" s="27" t="n"/>
      <c r="C2099" s="28" t="n"/>
      <c r="D2099" s="29" t="n"/>
      <c r="E2099" s="29" t="n"/>
      <c r="F2099" s="29" t="n"/>
      <c r="G2099" s="30" t="n"/>
      <c r="H2099" s="31">
        <f>IF(G2099="","",SUMIF(C$2:C2099,"Masuk",G$2:G2099)-SUMIF(C$2:C2099,"Keluar",G$2:G2099))</f>
        <v/>
      </c>
    </row>
    <row r="2100">
      <c r="A2100" s="22" t="n"/>
      <c r="B2100" s="23" t="n"/>
      <c r="C2100" s="24" t="n"/>
      <c r="D2100" s="17" t="n"/>
      <c r="E2100" s="17" t="n"/>
      <c r="F2100" s="17" t="n"/>
      <c r="G2100" s="15" t="n"/>
      <c r="H2100" s="25">
        <f>IF(G2100="","",SUMIF(C$2:C2100,"Masuk",G$2:G2100)-SUMIF(C$2:C2100,"Keluar",G$2:G2100))</f>
        <v/>
      </c>
    </row>
    <row r="2101">
      <c r="A2101" s="26" t="n"/>
      <c r="B2101" s="27" t="n"/>
      <c r="C2101" s="28" t="n"/>
      <c r="D2101" s="29" t="n"/>
      <c r="E2101" s="29" t="n"/>
      <c r="F2101" s="29" t="n"/>
      <c r="G2101" s="30" t="n"/>
      <c r="H2101" s="31">
        <f>IF(G2101="","",SUMIF(C$2:C2101,"Masuk",G$2:G2101)-SUMIF(C$2:C2101,"Keluar",G$2:G2101))</f>
        <v/>
      </c>
    </row>
    <row r="2102">
      <c r="A2102" s="22" t="n"/>
      <c r="B2102" s="23" t="n"/>
      <c r="C2102" s="24" t="n"/>
      <c r="D2102" s="17" t="n"/>
      <c r="E2102" s="17" t="n"/>
      <c r="F2102" s="17" t="n"/>
      <c r="G2102" s="15" t="n"/>
      <c r="H2102" s="25">
        <f>IF(G2102="","",SUMIF(C$2:C2102,"Masuk",G$2:G2102)-SUMIF(C$2:C2102,"Keluar",G$2:G2102))</f>
        <v/>
      </c>
    </row>
    <row r="2103">
      <c r="A2103" s="26" t="n"/>
      <c r="B2103" s="27" t="n"/>
      <c r="C2103" s="28" t="n"/>
      <c r="D2103" s="29" t="n"/>
      <c r="E2103" s="29" t="n"/>
      <c r="F2103" s="29" t="n"/>
      <c r="G2103" s="30" t="n"/>
      <c r="H2103" s="31">
        <f>IF(G2103="","",SUMIF(C$2:C2103,"Masuk",G$2:G2103)-SUMIF(C$2:C2103,"Keluar",G$2:G2103))</f>
        <v/>
      </c>
    </row>
    <row r="2104">
      <c r="A2104" s="22" t="n"/>
      <c r="B2104" s="23" t="n"/>
      <c r="C2104" s="24" t="n"/>
      <c r="D2104" s="17" t="n"/>
      <c r="E2104" s="17" t="n"/>
      <c r="F2104" s="17" t="n"/>
      <c r="G2104" s="15" t="n"/>
      <c r="H2104" s="25">
        <f>IF(G2104="","",SUMIF(C$2:C2104,"Masuk",G$2:G2104)-SUMIF(C$2:C2104,"Keluar",G$2:G2104))</f>
        <v/>
      </c>
    </row>
    <row r="2105">
      <c r="A2105" s="26" t="n"/>
      <c r="B2105" s="27" t="n"/>
      <c r="C2105" s="28" t="n"/>
      <c r="D2105" s="29" t="n"/>
      <c r="E2105" s="29" t="n"/>
      <c r="F2105" s="29" t="n"/>
      <c r="G2105" s="30" t="n"/>
      <c r="H2105" s="31">
        <f>IF(G2105="","",SUMIF(C$2:C2105,"Masuk",G$2:G2105)-SUMIF(C$2:C2105,"Keluar",G$2:G2105))</f>
        <v/>
      </c>
    </row>
    <row r="2106">
      <c r="A2106" s="22" t="n"/>
      <c r="B2106" s="23" t="n"/>
      <c r="C2106" s="24" t="n"/>
      <c r="D2106" s="17" t="n"/>
      <c r="E2106" s="17" t="n"/>
      <c r="F2106" s="17" t="n"/>
      <c r="G2106" s="15" t="n"/>
      <c r="H2106" s="25">
        <f>IF(G2106="","",SUMIF(C$2:C2106,"Masuk",G$2:G2106)-SUMIF(C$2:C2106,"Keluar",G$2:G2106))</f>
        <v/>
      </c>
    </row>
    <row r="2107">
      <c r="A2107" s="26" t="n"/>
      <c r="B2107" s="27" t="n"/>
      <c r="C2107" s="28" t="n"/>
      <c r="D2107" s="29" t="n"/>
      <c r="E2107" s="29" t="n"/>
      <c r="F2107" s="29" t="n"/>
      <c r="G2107" s="30" t="n"/>
      <c r="H2107" s="31">
        <f>IF(G2107="","",SUMIF(C$2:C2107,"Masuk",G$2:G2107)-SUMIF(C$2:C2107,"Keluar",G$2:G2107))</f>
        <v/>
      </c>
    </row>
    <row r="2108">
      <c r="A2108" s="22" t="n"/>
      <c r="B2108" s="23" t="n"/>
      <c r="C2108" s="24" t="n"/>
      <c r="D2108" s="17" t="n"/>
      <c r="E2108" s="17" t="n"/>
      <c r="F2108" s="17" t="n"/>
      <c r="G2108" s="15" t="n"/>
      <c r="H2108" s="25">
        <f>IF(G2108="","",SUMIF(C$2:C2108,"Masuk",G$2:G2108)-SUMIF(C$2:C2108,"Keluar",G$2:G2108))</f>
        <v/>
      </c>
    </row>
    <row r="2109">
      <c r="A2109" s="26" t="n"/>
      <c r="B2109" s="27" t="n"/>
      <c r="C2109" s="28" t="n"/>
      <c r="D2109" s="29" t="n"/>
      <c r="E2109" s="29" t="n"/>
      <c r="F2109" s="29" t="n"/>
      <c r="G2109" s="30" t="n"/>
      <c r="H2109" s="31">
        <f>IF(G2109="","",SUMIF(C$2:C2109,"Masuk",G$2:G2109)-SUMIF(C$2:C2109,"Keluar",G$2:G2109))</f>
        <v/>
      </c>
    </row>
    <row r="2110">
      <c r="A2110" s="22" t="n"/>
      <c r="B2110" s="23" t="n"/>
      <c r="C2110" s="24" t="n"/>
      <c r="D2110" s="17" t="n"/>
      <c r="E2110" s="17" t="n"/>
      <c r="F2110" s="17" t="n"/>
      <c r="G2110" s="15" t="n"/>
      <c r="H2110" s="25">
        <f>IF(G2110="","",SUMIF(C$2:C2110,"Masuk",G$2:G2110)-SUMIF(C$2:C2110,"Keluar",G$2:G2110))</f>
        <v/>
      </c>
    </row>
    <row r="2111">
      <c r="A2111" s="26" t="n"/>
      <c r="B2111" s="27" t="n"/>
      <c r="C2111" s="28" t="n"/>
      <c r="D2111" s="29" t="n"/>
      <c r="E2111" s="29" t="n"/>
      <c r="F2111" s="29" t="n"/>
      <c r="G2111" s="30" t="n"/>
      <c r="H2111" s="31">
        <f>IF(G2111="","",SUMIF(C$2:C2111,"Masuk",G$2:G2111)-SUMIF(C$2:C2111,"Keluar",G$2:G2111))</f>
        <v/>
      </c>
    </row>
    <row r="2112">
      <c r="A2112" s="22" t="n"/>
      <c r="B2112" s="23" t="n"/>
      <c r="C2112" s="24" t="n"/>
      <c r="D2112" s="17" t="n"/>
      <c r="E2112" s="17" t="n"/>
      <c r="F2112" s="17" t="n"/>
      <c r="G2112" s="15" t="n"/>
      <c r="H2112" s="25">
        <f>IF(G2112="","",SUMIF(C$2:C2112,"Masuk",G$2:G2112)-SUMIF(C$2:C2112,"Keluar",G$2:G2112))</f>
        <v/>
      </c>
    </row>
    <row r="2113">
      <c r="A2113" s="26" t="n"/>
      <c r="B2113" s="27" t="n"/>
      <c r="C2113" s="28" t="n"/>
      <c r="D2113" s="29" t="n"/>
      <c r="E2113" s="29" t="n"/>
      <c r="F2113" s="29" t="n"/>
      <c r="G2113" s="30" t="n"/>
      <c r="H2113" s="31">
        <f>IF(G2113="","",SUMIF(C$2:C2113,"Masuk",G$2:G2113)-SUMIF(C$2:C2113,"Keluar",G$2:G2113))</f>
        <v/>
      </c>
    </row>
    <row r="2114">
      <c r="A2114" s="22" t="n"/>
      <c r="B2114" s="23" t="n"/>
      <c r="C2114" s="24" t="n"/>
      <c r="D2114" s="17" t="n"/>
      <c r="E2114" s="17" t="n"/>
      <c r="F2114" s="17" t="n"/>
      <c r="G2114" s="15" t="n"/>
      <c r="H2114" s="25">
        <f>IF(G2114="","",SUMIF(C$2:C2114,"Masuk",G$2:G2114)-SUMIF(C$2:C2114,"Keluar",G$2:G2114))</f>
        <v/>
      </c>
    </row>
    <row r="2115">
      <c r="A2115" s="26" t="n"/>
      <c r="B2115" s="27" t="n"/>
      <c r="C2115" s="28" t="n"/>
      <c r="D2115" s="29" t="n"/>
      <c r="E2115" s="29" t="n"/>
      <c r="F2115" s="29" t="n"/>
      <c r="G2115" s="30" t="n"/>
      <c r="H2115" s="31">
        <f>IF(G2115="","",SUMIF(C$2:C2115,"Masuk",G$2:G2115)-SUMIF(C$2:C2115,"Keluar",G$2:G2115))</f>
        <v/>
      </c>
    </row>
    <row r="2116">
      <c r="A2116" s="22" t="n"/>
      <c r="B2116" s="23" t="n"/>
      <c r="C2116" s="24" t="n"/>
      <c r="D2116" s="17" t="n"/>
      <c r="E2116" s="17" t="n"/>
      <c r="F2116" s="17" t="n"/>
      <c r="G2116" s="15" t="n"/>
      <c r="H2116" s="25">
        <f>IF(G2116="","",SUMIF(C$2:C2116,"Masuk",G$2:G2116)-SUMIF(C$2:C2116,"Keluar",G$2:G2116))</f>
        <v/>
      </c>
    </row>
    <row r="2117">
      <c r="A2117" s="26" t="n"/>
      <c r="B2117" s="27" t="n"/>
      <c r="C2117" s="28" t="n"/>
      <c r="D2117" s="29" t="n"/>
      <c r="E2117" s="29" t="n"/>
      <c r="F2117" s="29" t="n"/>
      <c r="G2117" s="30" t="n"/>
      <c r="H2117" s="31">
        <f>IF(G2117="","",SUMIF(C$2:C2117,"Masuk",G$2:G2117)-SUMIF(C$2:C2117,"Keluar",G$2:G2117))</f>
        <v/>
      </c>
    </row>
    <row r="2118">
      <c r="A2118" s="22" t="n"/>
      <c r="B2118" s="23" t="n"/>
      <c r="C2118" s="24" t="n"/>
      <c r="D2118" s="17" t="n"/>
      <c r="E2118" s="17" t="n"/>
      <c r="F2118" s="17" t="n"/>
      <c r="G2118" s="15" t="n"/>
      <c r="H2118" s="25">
        <f>IF(G2118="","",SUMIF(C$2:C2118,"Masuk",G$2:G2118)-SUMIF(C$2:C2118,"Keluar",G$2:G2118))</f>
        <v/>
      </c>
    </row>
    <row r="2119">
      <c r="A2119" s="26" t="n"/>
      <c r="B2119" s="27" t="n"/>
      <c r="C2119" s="28" t="n"/>
      <c r="D2119" s="29" t="n"/>
      <c r="E2119" s="29" t="n"/>
      <c r="F2119" s="29" t="n"/>
      <c r="G2119" s="30" t="n"/>
      <c r="H2119" s="31">
        <f>IF(G2119="","",SUMIF(C$2:C2119,"Masuk",G$2:G2119)-SUMIF(C$2:C2119,"Keluar",G$2:G2119))</f>
        <v/>
      </c>
    </row>
    <row r="2120">
      <c r="A2120" s="22" t="n"/>
      <c r="B2120" s="23" t="n"/>
      <c r="C2120" s="24" t="n"/>
      <c r="D2120" s="17" t="n"/>
      <c r="E2120" s="17" t="n"/>
      <c r="F2120" s="17" t="n"/>
      <c r="G2120" s="15" t="n"/>
      <c r="H2120" s="25">
        <f>IF(G2120="","",SUMIF(C$2:C2120,"Masuk",G$2:G2120)-SUMIF(C$2:C2120,"Keluar",G$2:G2120))</f>
        <v/>
      </c>
    </row>
    <row r="2121">
      <c r="A2121" s="26" t="n"/>
      <c r="B2121" s="27" t="n"/>
      <c r="C2121" s="28" t="n"/>
      <c r="D2121" s="29" t="n"/>
      <c r="E2121" s="29" t="n"/>
      <c r="F2121" s="29" t="n"/>
      <c r="G2121" s="30" t="n"/>
      <c r="H2121" s="31">
        <f>IF(G2121="","",SUMIF(C$2:C2121,"Masuk",G$2:G2121)-SUMIF(C$2:C2121,"Keluar",G$2:G2121))</f>
        <v/>
      </c>
    </row>
    <row r="2122">
      <c r="A2122" s="22" t="n"/>
      <c r="B2122" s="23" t="n"/>
      <c r="C2122" s="24" t="n"/>
      <c r="D2122" s="17" t="n"/>
      <c r="E2122" s="17" t="n"/>
      <c r="F2122" s="17" t="n"/>
      <c r="G2122" s="15" t="n"/>
      <c r="H2122" s="25">
        <f>IF(G2122="","",SUMIF(C$2:C2122,"Masuk",G$2:G2122)-SUMIF(C$2:C2122,"Keluar",G$2:G2122))</f>
        <v/>
      </c>
    </row>
    <row r="2123">
      <c r="A2123" s="26" t="n"/>
      <c r="B2123" s="27" t="n"/>
      <c r="C2123" s="28" t="n"/>
      <c r="D2123" s="29" t="n"/>
      <c r="E2123" s="29" t="n"/>
      <c r="F2123" s="29" t="n"/>
      <c r="G2123" s="30" t="n"/>
      <c r="H2123" s="31">
        <f>IF(G2123="","",SUMIF(C$2:C2123,"Masuk",G$2:G2123)-SUMIF(C$2:C2123,"Keluar",G$2:G2123))</f>
        <v/>
      </c>
    </row>
    <row r="2124">
      <c r="A2124" s="22" t="n"/>
      <c r="B2124" s="23" t="n"/>
      <c r="C2124" s="24" t="n"/>
      <c r="D2124" s="17" t="n"/>
      <c r="E2124" s="17" t="n"/>
      <c r="F2124" s="17" t="n"/>
      <c r="G2124" s="15" t="n"/>
      <c r="H2124" s="25">
        <f>IF(G2124="","",SUMIF(C$2:C2124,"Masuk",G$2:G2124)-SUMIF(C$2:C2124,"Keluar",G$2:G2124))</f>
        <v/>
      </c>
    </row>
    <row r="2125">
      <c r="A2125" s="26" t="n"/>
      <c r="B2125" s="27" t="n"/>
      <c r="C2125" s="28" t="n"/>
      <c r="D2125" s="29" t="n"/>
      <c r="E2125" s="29" t="n"/>
      <c r="F2125" s="29" t="n"/>
      <c r="G2125" s="30" t="n"/>
      <c r="H2125" s="31">
        <f>IF(G2125="","",SUMIF(C$2:C2125,"Masuk",G$2:G2125)-SUMIF(C$2:C2125,"Keluar",G$2:G2125))</f>
        <v/>
      </c>
    </row>
    <row r="2126">
      <c r="A2126" s="22" t="n"/>
      <c r="B2126" s="23" t="n"/>
      <c r="C2126" s="24" t="n"/>
      <c r="D2126" s="17" t="n"/>
      <c r="E2126" s="17" t="n"/>
      <c r="F2126" s="17" t="n"/>
      <c r="G2126" s="15" t="n"/>
      <c r="H2126" s="25">
        <f>IF(G2126="","",SUMIF(C$2:C2126,"Masuk",G$2:G2126)-SUMIF(C$2:C2126,"Keluar",G$2:G2126))</f>
        <v/>
      </c>
    </row>
    <row r="2127">
      <c r="A2127" s="26" t="n"/>
      <c r="B2127" s="27" t="n"/>
      <c r="C2127" s="28" t="n"/>
      <c r="D2127" s="29" t="n"/>
      <c r="E2127" s="29" t="n"/>
      <c r="F2127" s="29" t="n"/>
      <c r="G2127" s="30" t="n"/>
      <c r="H2127" s="31">
        <f>IF(G2127="","",SUMIF(C$2:C2127,"Masuk",G$2:G2127)-SUMIF(C$2:C2127,"Keluar",G$2:G2127))</f>
        <v/>
      </c>
    </row>
    <row r="2128">
      <c r="A2128" s="22" t="n"/>
      <c r="B2128" s="23" t="n"/>
      <c r="C2128" s="24" t="n"/>
      <c r="D2128" s="17" t="n"/>
      <c r="E2128" s="17" t="n"/>
      <c r="F2128" s="17" t="n"/>
      <c r="G2128" s="15" t="n"/>
      <c r="H2128" s="25">
        <f>IF(G2128="","",SUMIF(C$2:C2128,"Masuk",G$2:G2128)-SUMIF(C$2:C2128,"Keluar",G$2:G2128))</f>
        <v/>
      </c>
    </row>
    <row r="2129">
      <c r="A2129" s="26" t="n"/>
      <c r="B2129" s="27" t="n"/>
      <c r="C2129" s="28" t="n"/>
      <c r="D2129" s="29" t="n"/>
      <c r="E2129" s="29" t="n"/>
      <c r="F2129" s="29" t="n"/>
      <c r="G2129" s="30" t="n"/>
      <c r="H2129" s="31">
        <f>IF(G2129="","",SUMIF(C$2:C2129,"Masuk",G$2:G2129)-SUMIF(C$2:C2129,"Keluar",G$2:G2129))</f>
        <v/>
      </c>
    </row>
    <row r="2130">
      <c r="A2130" s="22" t="n"/>
      <c r="B2130" s="23" t="n"/>
      <c r="C2130" s="24" t="n"/>
      <c r="D2130" s="17" t="n"/>
      <c r="E2130" s="17" t="n"/>
      <c r="F2130" s="17" t="n"/>
      <c r="G2130" s="15" t="n"/>
      <c r="H2130" s="25">
        <f>IF(G2130="","",SUMIF(C$2:C2130,"Masuk",G$2:G2130)-SUMIF(C$2:C2130,"Keluar",G$2:G2130))</f>
        <v/>
      </c>
    </row>
    <row r="2131">
      <c r="A2131" s="26" t="n"/>
      <c r="B2131" s="27" t="n"/>
      <c r="C2131" s="28" t="n"/>
      <c r="D2131" s="29" t="n"/>
      <c r="E2131" s="29" t="n"/>
      <c r="F2131" s="29" t="n"/>
      <c r="G2131" s="30" t="n"/>
      <c r="H2131" s="31">
        <f>IF(G2131="","",SUMIF(C$2:C2131,"Masuk",G$2:G2131)-SUMIF(C$2:C2131,"Keluar",G$2:G2131))</f>
        <v/>
      </c>
    </row>
    <row r="2132">
      <c r="A2132" s="22" t="n"/>
      <c r="B2132" s="23" t="n"/>
      <c r="C2132" s="24" t="n"/>
      <c r="D2132" s="17" t="n"/>
      <c r="E2132" s="17" t="n"/>
      <c r="F2132" s="17" t="n"/>
      <c r="G2132" s="15" t="n"/>
      <c r="H2132" s="25">
        <f>IF(G2132="","",SUMIF(C$2:C2132,"Masuk",G$2:G2132)-SUMIF(C$2:C2132,"Keluar",G$2:G2132))</f>
        <v/>
      </c>
    </row>
    <row r="2133">
      <c r="A2133" s="26" t="n"/>
      <c r="B2133" s="27" t="n"/>
      <c r="C2133" s="28" t="n"/>
      <c r="D2133" s="29" t="n"/>
      <c r="E2133" s="29" t="n"/>
      <c r="F2133" s="29" t="n"/>
      <c r="G2133" s="30" t="n"/>
      <c r="H2133" s="31">
        <f>IF(G2133="","",SUMIF(C$2:C2133,"Masuk",G$2:G2133)-SUMIF(C$2:C2133,"Keluar",G$2:G2133))</f>
        <v/>
      </c>
    </row>
    <row r="2134">
      <c r="A2134" s="22" t="n"/>
      <c r="B2134" s="23" t="n"/>
      <c r="C2134" s="24" t="n"/>
      <c r="D2134" s="17" t="n"/>
      <c r="E2134" s="17" t="n"/>
      <c r="F2134" s="17" t="n"/>
      <c r="G2134" s="15" t="n"/>
      <c r="H2134" s="25">
        <f>IF(G2134="","",SUMIF(C$2:C2134,"Masuk",G$2:G2134)-SUMIF(C$2:C2134,"Keluar",G$2:G2134))</f>
        <v/>
      </c>
    </row>
    <row r="2135">
      <c r="A2135" s="26" t="n"/>
      <c r="B2135" s="27" t="n"/>
      <c r="C2135" s="28" t="n"/>
      <c r="D2135" s="29" t="n"/>
      <c r="E2135" s="29" t="n"/>
      <c r="F2135" s="29" t="n"/>
      <c r="G2135" s="30" t="n"/>
      <c r="H2135" s="31">
        <f>IF(G2135="","",SUMIF(C$2:C2135,"Masuk",G$2:G2135)-SUMIF(C$2:C2135,"Keluar",G$2:G2135))</f>
        <v/>
      </c>
    </row>
    <row r="2136">
      <c r="A2136" s="22" t="n"/>
      <c r="B2136" s="23" t="n"/>
      <c r="C2136" s="24" t="n"/>
      <c r="D2136" s="17" t="n"/>
      <c r="E2136" s="17" t="n"/>
      <c r="F2136" s="17" t="n"/>
      <c r="G2136" s="15" t="n"/>
      <c r="H2136" s="25">
        <f>IF(G2136="","",SUMIF(C$2:C2136,"Masuk",G$2:G2136)-SUMIF(C$2:C2136,"Keluar",G$2:G2136))</f>
        <v/>
      </c>
    </row>
    <row r="2137">
      <c r="A2137" s="26" t="n"/>
      <c r="B2137" s="27" t="n"/>
      <c r="C2137" s="28" t="n"/>
      <c r="D2137" s="29" t="n"/>
      <c r="E2137" s="29" t="n"/>
      <c r="F2137" s="29" t="n"/>
      <c r="G2137" s="30" t="n"/>
      <c r="H2137" s="31">
        <f>IF(G2137="","",SUMIF(C$2:C2137,"Masuk",G$2:G2137)-SUMIF(C$2:C2137,"Keluar",G$2:G2137))</f>
        <v/>
      </c>
    </row>
    <row r="2138">
      <c r="A2138" s="22" t="n"/>
      <c r="B2138" s="23" t="n"/>
      <c r="C2138" s="24" t="n"/>
      <c r="D2138" s="17" t="n"/>
      <c r="E2138" s="17" t="n"/>
      <c r="F2138" s="17" t="n"/>
      <c r="G2138" s="15" t="n"/>
      <c r="H2138" s="25">
        <f>IF(G2138="","",SUMIF(C$2:C2138,"Masuk",G$2:G2138)-SUMIF(C$2:C2138,"Keluar",G$2:G2138))</f>
        <v/>
      </c>
    </row>
    <row r="2139">
      <c r="A2139" s="26" t="n"/>
      <c r="B2139" s="27" t="n"/>
      <c r="C2139" s="28" t="n"/>
      <c r="D2139" s="29" t="n"/>
      <c r="E2139" s="29" t="n"/>
      <c r="F2139" s="29" t="n"/>
      <c r="G2139" s="30" t="n"/>
      <c r="H2139" s="31">
        <f>IF(G2139="","",SUMIF(C$2:C2139,"Masuk",G$2:G2139)-SUMIF(C$2:C2139,"Keluar",G$2:G2139))</f>
        <v/>
      </c>
    </row>
    <row r="2140">
      <c r="A2140" s="22" t="n"/>
      <c r="B2140" s="23" t="n"/>
      <c r="C2140" s="24" t="n"/>
      <c r="D2140" s="17" t="n"/>
      <c r="E2140" s="17" t="n"/>
      <c r="F2140" s="17" t="n"/>
      <c r="G2140" s="15" t="n"/>
      <c r="H2140" s="25">
        <f>IF(G2140="","",SUMIF(C$2:C2140,"Masuk",G$2:G2140)-SUMIF(C$2:C2140,"Keluar",G$2:G2140))</f>
        <v/>
      </c>
    </row>
    <row r="2141">
      <c r="A2141" s="26" t="n"/>
      <c r="B2141" s="27" t="n"/>
      <c r="C2141" s="28" t="n"/>
      <c r="D2141" s="29" t="n"/>
      <c r="E2141" s="29" t="n"/>
      <c r="F2141" s="29" t="n"/>
      <c r="G2141" s="30" t="n"/>
      <c r="H2141" s="31">
        <f>IF(G2141="","",SUMIF(C$2:C2141,"Masuk",G$2:G2141)-SUMIF(C$2:C2141,"Keluar",G$2:G2141))</f>
        <v/>
      </c>
    </row>
    <row r="2142">
      <c r="A2142" s="22" t="n"/>
      <c r="B2142" s="23" t="n"/>
      <c r="C2142" s="24" t="n"/>
      <c r="D2142" s="17" t="n"/>
      <c r="E2142" s="17" t="n"/>
      <c r="F2142" s="17" t="n"/>
      <c r="G2142" s="15" t="n"/>
      <c r="H2142" s="25">
        <f>IF(G2142="","",SUMIF(C$2:C2142,"Masuk",G$2:G2142)-SUMIF(C$2:C2142,"Keluar",G$2:G2142))</f>
        <v/>
      </c>
    </row>
    <row r="2143">
      <c r="A2143" s="26" t="n"/>
      <c r="B2143" s="27" t="n"/>
      <c r="C2143" s="28" t="n"/>
      <c r="D2143" s="29" t="n"/>
      <c r="E2143" s="29" t="n"/>
      <c r="F2143" s="29" t="n"/>
      <c r="G2143" s="30" t="n"/>
      <c r="H2143" s="31">
        <f>IF(G2143="","",SUMIF(C$2:C2143,"Masuk",G$2:G2143)-SUMIF(C$2:C2143,"Keluar",G$2:G2143))</f>
        <v/>
      </c>
    </row>
    <row r="2144">
      <c r="A2144" s="22" t="n"/>
      <c r="B2144" s="23" t="n"/>
      <c r="C2144" s="24" t="n"/>
      <c r="D2144" s="17" t="n"/>
      <c r="E2144" s="17" t="n"/>
      <c r="F2144" s="17" t="n"/>
      <c r="G2144" s="15" t="n"/>
      <c r="H2144" s="25">
        <f>IF(G2144="","",SUMIF(C$2:C2144,"Masuk",G$2:G2144)-SUMIF(C$2:C2144,"Keluar",G$2:G2144))</f>
        <v/>
      </c>
    </row>
    <row r="2145">
      <c r="A2145" s="26" t="n"/>
      <c r="B2145" s="27" t="n"/>
      <c r="C2145" s="28" t="n"/>
      <c r="D2145" s="29" t="n"/>
      <c r="E2145" s="29" t="n"/>
      <c r="F2145" s="29" t="n"/>
      <c r="G2145" s="30" t="n"/>
      <c r="H2145" s="31">
        <f>IF(G2145="","",SUMIF(C$2:C2145,"Masuk",G$2:G2145)-SUMIF(C$2:C2145,"Keluar",G$2:G2145))</f>
        <v/>
      </c>
    </row>
    <row r="2146">
      <c r="A2146" s="22" t="n"/>
      <c r="B2146" s="23" t="n"/>
      <c r="C2146" s="24" t="n"/>
      <c r="D2146" s="17" t="n"/>
      <c r="E2146" s="17" t="n"/>
      <c r="F2146" s="17" t="n"/>
      <c r="G2146" s="15" t="n"/>
      <c r="H2146" s="25">
        <f>IF(G2146="","",SUMIF(C$2:C2146,"Masuk",G$2:G2146)-SUMIF(C$2:C2146,"Keluar",G$2:G2146))</f>
        <v/>
      </c>
    </row>
    <row r="2147">
      <c r="A2147" s="26" t="n"/>
      <c r="B2147" s="27" t="n"/>
      <c r="C2147" s="28" t="n"/>
      <c r="D2147" s="29" t="n"/>
      <c r="E2147" s="29" t="n"/>
      <c r="F2147" s="29" t="n"/>
      <c r="G2147" s="30" t="n"/>
      <c r="H2147" s="31">
        <f>IF(G2147="","",SUMIF(C$2:C2147,"Masuk",G$2:G2147)-SUMIF(C$2:C2147,"Keluar",G$2:G2147))</f>
        <v/>
      </c>
    </row>
    <row r="2148">
      <c r="A2148" s="22" t="n"/>
      <c r="B2148" s="23" t="n"/>
      <c r="C2148" s="24" t="n"/>
      <c r="D2148" s="17" t="n"/>
      <c r="E2148" s="17" t="n"/>
      <c r="F2148" s="17" t="n"/>
      <c r="G2148" s="15" t="n"/>
      <c r="H2148" s="25">
        <f>IF(G2148="","",SUMIF(C$2:C2148,"Masuk",G$2:G2148)-SUMIF(C$2:C2148,"Keluar",G$2:G2148))</f>
        <v/>
      </c>
    </row>
    <row r="2149">
      <c r="A2149" s="26" t="n"/>
      <c r="B2149" s="27" t="n"/>
      <c r="C2149" s="28" t="n"/>
      <c r="D2149" s="29" t="n"/>
      <c r="E2149" s="29" t="n"/>
      <c r="F2149" s="29" t="n"/>
      <c r="G2149" s="30" t="n"/>
      <c r="H2149" s="31">
        <f>IF(G2149="","",SUMIF(C$2:C2149,"Masuk",G$2:G2149)-SUMIF(C$2:C2149,"Keluar",G$2:G2149))</f>
        <v/>
      </c>
    </row>
    <row r="2150">
      <c r="A2150" s="22" t="n"/>
      <c r="B2150" s="23" t="n"/>
      <c r="C2150" s="24" t="n"/>
      <c r="D2150" s="17" t="n"/>
      <c r="E2150" s="17" t="n"/>
      <c r="F2150" s="17" t="n"/>
      <c r="G2150" s="15" t="n"/>
      <c r="H2150" s="25">
        <f>IF(G2150="","",SUMIF(C$2:C2150,"Masuk",G$2:G2150)-SUMIF(C$2:C2150,"Keluar",G$2:G2150))</f>
        <v/>
      </c>
    </row>
    <row r="2151">
      <c r="A2151" s="26" t="n"/>
      <c r="B2151" s="27" t="n"/>
      <c r="C2151" s="28" t="n"/>
      <c r="D2151" s="29" t="n"/>
      <c r="E2151" s="29" t="n"/>
      <c r="F2151" s="29" t="n"/>
      <c r="G2151" s="30" t="n"/>
      <c r="H2151" s="31">
        <f>IF(G2151="","",SUMIF(C$2:C2151,"Masuk",G$2:G2151)-SUMIF(C$2:C2151,"Keluar",G$2:G2151))</f>
        <v/>
      </c>
    </row>
    <row r="2152">
      <c r="A2152" s="22" t="n"/>
      <c r="B2152" s="23" t="n"/>
      <c r="C2152" s="24" t="n"/>
      <c r="D2152" s="17" t="n"/>
      <c r="E2152" s="17" t="n"/>
      <c r="F2152" s="17" t="n"/>
      <c r="G2152" s="15" t="n"/>
      <c r="H2152" s="25">
        <f>IF(G2152="","",SUMIF(C$2:C2152,"Masuk",G$2:G2152)-SUMIF(C$2:C2152,"Keluar",G$2:G2152))</f>
        <v/>
      </c>
    </row>
    <row r="2153">
      <c r="A2153" s="26" t="n"/>
      <c r="B2153" s="27" t="n"/>
      <c r="C2153" s="28" t="n"/>
      <c r="D2153" s="29" t="n"/>
      <c r="E2153" s="29" t="n"/>
      <c r="F2153" s="29" t="n"/>
      <c r="G2153" s="30" t="n"/>
      <c r="H2153" s="31">
        <f>IF(G2153="","",SUMIF(C$2:C2153,"Masuk",G$2:G2153)-SUMIF(C$2:C2153,"Keluar",G$2:G2153))</f>
        <v/>
      </c>
    </row>
    <row r="2154">
      <c r="A2154" s="22" t="n"/>
      <c r="B2154" s="23" t="n"/>
      <c r="C2154" s="24" t="n"/>
      <c r="D2154" s="17" t="n"/>
      <c r="E2154" s="17" t="n"/>
      <c r="F2154" s="17" t="n"/>
      <c r="G2154" s="15" t="n"/>
      <c r="H2154" s="25">
        <f>IF(G2154="","",SUMIF(C$2:C2154,"Masuk",G$2:G2154)-SUMIF(C$2:C2154,"Keluar",G$2:G2154))</f>
        <v/>
      </c>
    </row>
    <row r="2155">
      <c r="A2155" s="26" t="n"/>
      <c r="B2155" s="27" t="n"/>
      <c r="C2155" s="28" t="n"/>
      <c r="D2155" s="29" t="n"/>
      <c r="E2155" s="29" t="n"/>
      <c r="F2155" s="29" t="n"/>
      <c r="G2155" s="30" t="n"/>
      <c r="H2155" s="31">
        <f>IF(G2155="","",SUMIF(C$2:C2155,"Masuk",G$2:G2155)-SUMIF(C$2:C2155,"Keluar",G$2:G2155))</f>
        <v/>
      </c>
    </row>
    <row r="2156">
      <c r="A2156" s="22" t="n"/>
      <c r="B2156" s="23" t="n"/>
      <c r="C2156" s="24" t="n"/>
      <c r="D2156" s="17" t="n"/>
      <c r="E2156" s="17" t="n"/>
      <c r="F2156" s="17" t="n"/>
      <c r="G2156" s="15" t="n"/>
      <c r="H2156" s="25">
        <f>IF(G2156="","",SUMIF(C$2:C2156,"Masuk",G$2:G2156)-SUMIF(C$2:C2156,"Keluar",G$2:G2156))</f>
        <v/>
      </c>
    </row>
    <row r="2157">
      <c r="A2157" s="26" t="n"/>
      <c r="B2157" s="27" t="n"/>
      <c r="C2157" s="28" t="n"/>
      <c r="D2157" s="29" t="n"/>
      <c r="E2157" s="29" t="n"/>
      <c r="F2157" s="29" t="n"/>
      <c r="G2157" s="30" t="n"/>
      <c r="H2157" s="31">
        <f>IF(G2157="","",SUMIF(C$2:C2157,"Masuk",G$2:G2157)-SUMIF(C$2:C2157,"Keluar",G$2:G2157))</f>
        <v/>
      </c>
    </row>
    <row r="2158">
      <c r="A2158" s="22" t="n"/>
      <c r="B2158" s="23" t="n"/>
      <c r="C2158" s="24" t="n"/>
      <c r="D2158" s="17" t="n"/>
      <c r="E2158" s="17" t="n"/>
      <c r="F2158" s="17" t="n"/>
      <c r="G2158" s="15" t="n"/>
      <c r="H2158" s="25">
        <f>IF(G2158="","",SUMIF(C$2:C2158,"Masuk",G$2:G2158)-SUMIF(C$2:C2158,"Keluar",G$2:G2158))</f>
        <v/>
      </c>
    </row>
    <row r="2159">
      <c r="A2159" s="26" t="n"/>
      <c r="B2159" s="27" t="n"/>
      <c r="C2159" s="28" t="n"/>
      <c r="D2159" s="29" t="n"/>
      <c r="E2159" s="29" t="n"/>
      <c r="F2159" s="29" t="n"/>
      <c r="G2159" s="30" t="n"/>
      <c r="H2159" s="31">
        <f>IF(G2159="","",SUMIF(C$2:C2159,"Masuk",G$2:G2159)-SUMIF(C$2:C2159,"Keluar",G$2:G2159))</f>
        <v/>
      </c>
    </row>
    <row r="2160">
      <c r="A2160" s="22" t="n"/>
      <c r="B2160" s="23" t="n"/>
      <c r="C2160" s="24" t="n"/>
      <c r="D2160" s="17" t="n"/>
      <c r="E2160" s="17" t="n"/>
      <c r="F2160" s="17" t="n"/>
      <c r="G2160" s="15" t="n"/>
      <c r="H2160" s="25">
        <f>IF(G2160="","",SUMIF(C$2:C2160,"Masuk",G$2:G2160)-SUMIF(C$2:C2160,"Keluar",G$2:G2160))</f>
        <v/>
      </c>
    </row>
    <row r="2161">
      <c r="A2161" s="26" t="n"/>
      <c r="B2161" s="27" t="n"/>
      <c r="C2161" s="28" t="n"/>
      <c r="D2161" s="29" t="n"/>
      <c r="E2161" s="29" t="n"/>
      <c r="F2161" s="29" t="n"/>
      <c r="G2161" s="30" t="n"/>
      <c r="H2161" s="31">
        <f>IF(G2161="","",SUMIF(C$2:C2161,"Masuk",G$2:G2161)-SUMIF(C$2:C2161,"Keluar",G$2:G2161))</f>
        <v/>
      </c>
    </row>
    <row r="2162">
      <c r="A2162" s="22" t="n"/>
      <c r="B2162" s="23" t="n"/>
      <c r="C2162" s="24" t="n"/>
      <c r="D2162" s="17" t="n"/>
      <c r="E2162" s="17" t="n"/>
      <c r="F2162" s="17" t="n"/>
      <c r="G2162" s="15" t="n"/>
      <c r="H2162" s="25">
        <f>IF(G2162="","",SUMIF(C$2:C2162,"Masuk",G$2:G2162)-SUMIF(C$2:C2162,"Keluar",G$2:G2162))</f>
        <v/>
      </c>
    </row>
    <row r="2163">
      <c r="A2163" s="26" t="n"/>
      <c r="B2163" s="27" t="n"/>
      <c r="C2163" s="28" t="n"/>
      <c r="D2163" s="29" t="n"/>
      <c r="E2163" s="29" t="n"/>
      <c r="F2163" s="29" t="n"/>
      <c r="G2163" s="30" t="n"/>
      <c r="H2163" s="31">
        <f>IF(G2163="","",SUMIF(C$2:C2163,"Masuk",G$2:G2163)-SUMIF(C$2:C2163,"Keluar",G$2:G2163))</f>
        <v/>
      </c>
    </row>
    <row r="2164">
      <c r="A2164" s="22" t="n"/>
      <c r="B2164" s="23" t="n"/>
      <c r="C2164" s="24" t="n"/>
      <c r="D2164" s="17" t="n"/>
      <c r="E2164" s="17" t="n"/>
      <c r="F2164" s="17" t="n"/>
      <c r="G2164" s="15" t="n"/>
      <c r="H2164" s="25">
        <f>IF(G2164="","",SUMIF(C$2:C2164,"Masuk",G$2:G2164)-SUMIF(C$2:C2164,"Keluar",G$2:G2164))</f>
        <v/>
      </c>
    </row>
    <row r="2165">
      <c r="A2165" s="26" t="n"/>
      <c r="B2165" s="27" t="n"/>
      <c r="C2165" s="28" t="n"/>
      <c r="D2165" s="29" t="n"/>
      <c r="E2165" s="29" t="n"/>
      <c r="F2165" s="29" t="n"/>
      <c r="G2165" s="30" t="n"/>
      <c r="H2165" s="31">
        <f>IF(G2165="","",SUMIF(C$2:C2165,"Masuk",G$2:G2165)-SUMIF(C$2:C2165,"Keluar",G$2:G2165))</f>
        <v/>
      </c>
    </row>
    <row r="2166">
      <c r="A2166" s="22" t="n"/>
      <c r="B2166" s="23" t="n"/>
      <c r="C2166" s="24" t="n"/>
      <c r="D2166" s="17" t="n"/>
      <c r="E2166" s="17" t="n"/>
      <c r="F2166" s="17" t="n"/>
      <c r="G2166" s="15" t="n"/>
      <c r="H2166" s="25">
        <f>IF(G2166="","",SUMIF(C$2:C2166,"Masuk",G$2:G2166)-SUMIF(C$2:C2166,"Keluar",G$2:G2166))</f>
        <v/>
      </c>
    </row>
    <row r="2167">
      <c r="A2167" s="26" t="n"/>
      <c r="B2167" s="27" t="n"/>
      <c r="C2167" s="28" t="n"/>
      <c r="D2167" s="29" t="n"/>
      <c r="E2167" s="29" t="n"/>
      <c r="F2167" s="29" t="n"/>
      <c r="G2167" s="30" t="n"/>
      <c r="H2167" s="31">
        <f>IF(G2167="","",SUMIF(C$2:C2167,"Masuk",G$2:G2167)-SUMIF(C$2:C2167,"Keluar",G$2:G2167))</f>
        <v/>
      </c>
    </row>
    <row r="2168">
      <c r="A2168" s="22" t="n"/>
      <c r="B2168" s="23" t="n"/>
      <c r="C2168" s="24" t="n"/>
      <c r="D2168" s="17" t="n"/>
      <c r="E2168" s="17" t="n"/>
      <c r="F2168" s="17" t="n"/>
      <c r="G2168" s="15" t="n"/>
      <c r="H2168" s="25">
        <f>IF(G2168="","",SUMIF(C$2:C2168,"Masuk",G$2:G2168)-SUMIF(C$2:C2168,"Keluar",G$2:G2168))</f>
        <v/>
      </c>
    </row>
    <row r="2169">
      <c r="A2169" s="26" t="n"/>
      <c r="B2169" s="27" t="n"/>
      <c r="C2169" s="28" t="n"/>
      <c r="D2169" s="29" t="n"/>
      <c r="E2169" s="29" t="n"/>
      <c r="F2169" s="29" t="n"/>
      <c r="G2169" s="30" t="n"/>
      <c r="H2169" s="31">
        <f>IF(G2169="","",SUMIF(C$2:C2169,"Masuk",G$2:G2169)-SUMIF(C$2:C2169,"Keluar",G$2:G2169))</f>
        <v/>
      </c>
    </row>
    <row r="2170">
      <c r="A2170" s="22" t="n"/>
      <c r="B2170" s="23" t="n"/>
      <c r="C2170" s="24" t="n"/>
      <c r="D2170" s="17" t="n"/>
      <c r="E2170" s="17" t="n"/>
      <c r="F2170" s="17" t="n"/>
      <c r="G2170" s="15" t="n"/>
      <c r="H2170" s="25">
        <f>IF(G2170="","",SUMIF(C$2:C2170,"Masuk",G$2:G2170)-SUMIF(C$2:C2170,"Keluar",G$2:G2170))</f>
        <v/>
      </c>
    </row>
    <row r="2171">
      <c r="A2171" s="26" t="n"/>
      <c r="B2171" s="27" t="n"/>
      <c r="C2171" s="28" t="n"/>
      <c r="D2171" s="29" t="n"/>
      <c r="E2171" s="29" t="n"/>
      <c r="F2171" s="29" t="n"/>
      <c r="G2171" s="30" t="n"/>
      <c r="H2171" s="31">
        <f>IF(G2171="","",SUMIF(C$2:C2171,"Masuk",G$2:G2171)-SUMIF(C$2:C2171,"Keluar",G$2:G2171))</f>
        <v/>
      </c>
    </row>
    <row r="2172">
      <c r="A2172" s="22" t="n"/>
      <c r="B2172" s="23" t="n"/>
      <c r="C2172" s="24" t="n"/>
      <c r="D2172" s="17" t="n"/>
      <c r="E2172" s="17" t="n"/>
      <c r="F2172" s="17" t="n"/>
      <c r="G2172" s="15" t="n"/>
      <c r="H2172" s="25">
        <f>IF(G2172="","",SUMIF(C$2:C2172,"Masuk",G$2:G2172)-SUMIF(C$2:C2172,"Keluar",G$2:G2172))</f>
        <v/>
      </c>
    </row>
    <row r="2173">
      <c r="A2173" s="26" t="n"/>
      <c r="B2173" s="27" t="n"/>
      <c r="C2173" s="28" t="n"/>
      <c r="D2173" s="29" t="n"/>
      <c r="E2173" s="29" t="n"/>
      <c r="F2173" s="29" t="n"/>
      <c r="G2173" s="30" t="n"/>
      <c r="H2173" s="31">
        <f>IF(G2173="","",SUMIF(C$2:C2173,"Masuk",G$2:G2173)-SUMIF(C$2:C2173,"Keluar",G$2:G2173))</f>
        <v/>
      </c>
    </row>
    <row r="2174">
      <c r="A2174" s="22" t="n"/>
      <c r="B2174" s="23" t="n"/>
      <c r="C2174" s="24" t="n"/>
      <c r="D2174" s="17" t="n"/>
      <c r="E2174" s="17" t="n"/>
      <c r="F2174" s="17" t="n"/>
      <c r="G2174" s="15" t="n"/>
      <c r="H2174" s="25">
        <f>IF(G2174="","",SUMIF(C$2:C2174,"Masuk",G$2:G2174)-SUMIF(C$2:C2174,"Keluar",G$2:G2174))</f>
        <v/>
      </c>
    </row>
    <row r="2175">
      <c r="A2175" s="26" t="n"/>
      <c r="B2175" s="27" t="n"/>
      <c r="C2175" s="28" t="n"/>
      <c r="D2175" s="29" t="n"/>
      <c r="E2175" s="29" t="n"/>
      <c r="F2175" s="29" t="n"/>
      <c r="G2175" s="30" t="n"/>
      <c r="H2175" s="31">
        <f>IF(G2175="","",SUMIF(C$2:C2175,"Masuk",G$2:G2175)-SUMIF(C$2:C2175,"Keluar",G$2:G2175))</f>
        <v/>
      </c>
    </row>
    <row r="2176">
      <c r="A2176" s="22" t="n"/>
      <c r="B2176" s="23" t="n"/>
      <c r="C2176" s="24" t="n"/>
      <c r="D2176" s="17" t="n"/>
      <c r="E2176" s="17" t="n"/>
      <c r="F2176" s="17" t="n"/>
      <c r="G2176" s="15" t="n"/>
      <c r="H2176" s="25">
        <f>IF(G2176="","",SUMIF(C$2:C2176,"Masuk",G$2:G2176)-SUMIF(C$2:C2176,"Keluar",G$2:G2176))</f>
        <v/>
      </c>
    </row>
    <row r="2177">
      <c r="A2177" s="26" t="n"/>
      <c r="B2177" s="27" t="n"/>
      <c r="C2177" s="28" t="n"/>
      <c r="D2177" s="29" t="n"/>
      <c r="E2177" s="29" t="n"/>
      <c r="F2177" s="29" t="n"/>
      <c r="G2177" s="30" t="n"/>
      <c r="H2177" s="31">
        <f>IF(G2177="","",SUMIF(C$2:C2177,"Masuk",G$2:G2177)-SUMIF(C$2:C2177,"Keluar",G$2:G2177))</f>
        <v/>
      </c>
    </row>
    <row r="2178">
      <c r="A2178" s="22" t="n"/>
      <c r="B2178" s="23" t="n"/>
      <c r="C2178" s="24" t="n"/>
      <c r="D2178" s="17" t="n"/>
      <c r="E2178" s="17" t="n"/>
      <c r="F2178" s="17" t="n"/>
      <c r="G2178" s="15" t="n"/>
      <c r="H2178" s="25">
        <f>IF(G2178="","",SUMIF(C$2:C2178,"Masuk",G$2:G2178)-SUMIF(C$2:C2178,"Keluar",G$2:G2178))</f>
        <v/>
      </c>
    </row>
    <row r="2179">
      <c r="A2179" s="26" t="n"/>
      <c r="B2179" s="27" t="n"/>
      <c r="C2179" s="28" t="n"/>
      <c r="D2179" s="29" t="n"/>
      <c r="E2179" s="29" t="n"/>
      <c r="F2179" s="29" t="n"/>
      <c r="G2179" s="30" t="n"/>
      <c r="H2179" s="31">
        <f>IF(G2179="","",SUMIF(C$2:C2179,"Masuk",G$2:G2179)-SUMIF(C$2:C2179,"Keluar",G$2:G2179))</f>
        <v/>
      </c>
    </row>
    <row r="2180">
      <c r="A2180" s="22" t="n"/>
      <c r="B2180" s="23" t="n"/>
      <c r="C2180" s="24" t="n"/>
      <c r="D2180" s="17" t="n"/>
      <c r="E2180" s="17" t="n"/>
      <c r="F2180" s="17" t="n"/>
      <c r="G2180" s="15" t="n"/>
      <c r="H2180" s="25">
        <f>IF(G2180="","",SUMIF(C$2:C2180,"Masuk",G$2:G2180)-SUMIF(C$2:C2180,"Keluar",G$2:G2180))</f>
        <v/>
      </c>
    </row>
    <row r="2181">
      <c r="A2181" s="26" t="n"/>
      <c r="B2181" s="27" t="n"/>
      <c r="C2181" s="28" t="n"/>
      <c r="D2181" s="29" t="n"/>
      <c r="E2181" s="29" t="n"/>
      <c r="F2181" s="29" t="n"/>
      <c r="G2181" s="30" t="n"/>
      <c r="H2181" s="31">
        <f>IF(G2181="","",SUMIF(C$2:C2181,"Masuk",G$2:G2181)-SUMIF(C$2:C2181,"Keluar",G$2:G2181))</f>
        <v/>
      </c>
    </row>
    <row r="2182">
      <c r="A2182" s="22" t="n"/>
      <c r="B2182" s="23" t="n"/>
      <c r="C2182" s="24" t="n"/>
      <c r="D2182" s="17" t="n"/>
      <c r="E2182" s="17" t="n"/>
      <c r="F2182" s="17" t="n"/>
      <c r="G2182" s="15" t="n"/>
      <c r="H2182" s="25">
        <f>IF(G2182="","",SUMIF(C$2:C2182,"Masuk",G$2:G2182)-SUMIF(C$2:C2182,"Keluar",G$2:G2182))</f>
        <v/>
      </c>
    </row>
    <row r="2183">
      <c r="A2183" s="26" t="n"/>
      <c r="B2183" s="27" t="n"/>
      <c r="C2183" s="28" t="n"/>
      <c r="D2183" s="29" t="n"/>
      <c r="E2183" s="29" t="n"/>
      <c r="F2183" s="29" t="n"/>
      <c r="G2183" s="30" t="n"/>
      <c r="H2183" s="31">
        <f>IF(G2183="","",SUMIF(C$2:C2183,"Masuk",G$2:G2183)-SUMIF(C$2:C2183,"Keluar",G$2:G2183))</f>
        <v/>
      </c>
    </row>
    <row r="2184">
      <c r="A2184" s="22" t="n"/>
      <c r="B2184" s="23" t="n"/>
      <c r="C2184" s="24" t="n"/>
      <c r="D2184" s="17" t="n"/>
      <c r="E2184" s="17" t="n"/>
      <c r="F2184" s="17" t="n"/>
      <c r="G2184" s="15" t="n"/>
      <c r="H2184" s="25">
        <f>IF(G2184="","",SUMIF(C$2:C2184,"Masuk",G$2:G2184)-SUMIF(C$2:C2184,"Keluar",G$2:G2184))</f>
        <v/>
      </c>
    </row>
    <row r="2185">
      <c r="A2185" s="26" t="n"/>
      <c r="B2185" s="27" t="n"/>
      <c r="C2185" s="28" t="n"/>
      <c r="D2185" s="29" t="n"/>
      <c r="E2185" s="29" t="n"/>
      <c r="F2185" s="29" t="n"/>
      <c r="G2185" s="30" t="n"/>
      <c r="H2185" s="31">
        <f>IF(G2185="","",SUMIF(C$2:C2185,"Masuk",G$2:G2185)-SUMIF(C$2:C2185,"Keluar",G$2:G2185))</f>
        <v/>
      </c>
    </row>
    <row r="2186">
      <c r="A2186" s="22" t="n"/>
      <c r="B2186" s="23" t="n"/>
      <c r="C2186" s="24" t="n"/>
      <c r="D2186" s="17" t="n"/>
      <c r="E2186" s="17" t="n"/>
      <c r="F2186" s="17" t="n"/>
      <c r="G2186" s="15" t="n"/>
      <c r="H2186" s="25">
        <f>IF(G2186="","",SUMIF(C$2:C2186,"Masuk",G$2:G2186)-SUMIF(C$2:C2186,"Keluar",G$2:G2186))</f>
        <v/>
      </c>
    </row>
    <row r="2187">
      <c r="A2187" s="26" t="n"/>
      <c r="B2187" s="27" t="n"/>
      <c r="C2187" s="28" t="n"/>
      <c r="D2187" s="29" t="n"/>
      <c r="E2187" s="29" t="n"/>
      <c r="F2187" s="29" t="n"/>
      <c r="G2187" s="30" t="n"/>
      <c r="H2187" s="31">
        <f>IF(G2187="","",SUMIF(C$2:C2187,"Masuk",G$2:G2187)-SUMIF(C$2:C2187,"Keluar",G$2:G2187))</f>
        <v/>
      </c>
    </row>
    <row r="2188">
      <c r="A2188" s="22" t="n"/>
      <c r="B2188" s="23" t="n"/>
      <c r="C2188" s="24" t="n"/>
      <c r="D2188" s="17" t="n"/>
      <c r="E2188" s="17" t="n"/>
      <c r="F2188" s="17" t="n"/>
      <c r="G2188" s="15" t="n"/>
      <c r="H2188" s="25">
        <f>IF(G2188="","",SUMIF(C$2:C2188,"Masuk",G$2:G2188)-SUMIF(C$2:C2188,"Keluar",G$2:G2188))</f>
        <v/>
      </c>
    </row>
    <row r="2189">
      <c r="A2189" s="26" t="n"/>
      <c r="B2189" s="27" t="n"/>
      <c r="C2189" s="28" t="n"/>
      <c r="D2189" s="29" t="n"/>
      <c r="E2189" s="29" t="n"/>
      <c r="F2189" s="29" t="n"/>
      <c r="G2189" s="30" t="n"/>
      <c r="H2189" s="31">
        <f>IF(G2189="","",SUMIF(C$2:C2189,"Masuk",G$2:G2189)-SUMIF(C$2:C2189,"Keluar",G$2:G2189))</f>
        <v/>
      </c>
    </row>
    <row r="2190">
      <c r="A2190" s="22" t="n"/>
      <c r="B2190" s="23" t="n"/>
      <c r="C2190" s="24" t="n"/>
      <c r="D2190" s="17" t="n"/>
      <c r="E2190" s="17" t="n"/>
      <c r="F2190" s="17" t="n"/>
      <c r="G2190" s="15" t="n"/>
      <c r="H2190" s="25">
        <f>IF(G2190="","",SUMIF(C$2:C2190,"Masuk",G$2:G2190)-SUMIF(C$2:C2190,"Keluar",G$2:G2190))</f>
        <v/>
      </c>
    </row>
    <row r="2191">
      <c r="A2191" s="26" t="n"/>
      <c r="B2191" s="27" t="n"/>
      <c r="C2191" s="28" t="n"/>
      <c r="D2191" s="29" t="n"/>
      <c r="E2191" s="29" t="n"/>
      <c r="F2191" s="29" t="n"/>
      <c r="G2191" s="30" t="n"/>
      <c r="H2191" s="31">
        <f>IF(G2191="","",SUMIF(C$2:C2191,"Masuk",G$2:G2191)-SUMIF(C$2:C2191,"Keluar",G$2:G2191))</f>
        <v/>
      </c>
    </row>
    <row r="2192">
      <c r="A2192" s="22" t="n"/>
      <c r="B2192" s="23" t="n"/>
      <c r="C2192" s="24" t="n"/>
      <c r="D2192" s="17" t="n"/>
      <c r="E2192" s="17" t="n"/>
      <c r="F2192" s="17" t="n"/>
      <c r="G2192" s="15" t="n"/>
      <c r="H2192" s="25">
        <f>IF(G2192="","",SUMIF(C$2:C2192,"Masuk",G$2:G2192)-SUMIF(C$2:C2192,"Keluar",G$2:G2192))</f>
        <v/>
      </c>
    </row>
    <row r="2193">
      <c r="A2193" s="26" t="n"/>
      <c r="B2193" s="27" t="n"/>
      <c r="C2193" s="28" t="n"/>
      <c r="D2193" s="29" t="n"/>
      <c r="E2193" s="29" t="n"/>
      <c r="F2193" s="29" t="n"/>
      <c r="G2193" s="30" t="n"/>
      <c r="H2193" s="31">
        <f>IF(G2193="","",SUMIF(C$2:C2193,"Masuk",G$2:G2193)-SUMIF(C$2:C2193,"Keluar",G$2:G2193))</f>
        <v/>
      </c>
    </row>
    <row r="2194">
      <c r="A2194" s="22" t="n"/>
      <c r="B2194" s="23" t="n"/>
      <c r="C2194" s="24" t="n"/>
      <c r="D2194" s="17" t="n"/>
      <c r="E2194" s="17" t="n"/>
      <c r="F2194" s="17" t="n"/>
      <c r="G2194" s="15" t="n"/>
      <c r="H2194" s="25">
        <f>IF(G2194="","",SUMIF(C$2:C2194,"Masuk",G$2:G2194)-SUMIF(C$2:C2194,"Keluar",G$2:G2194))</f>
        <v/>
      </c>
    </row>
    <row r="2195">
      <c r="A2195" s="26" t="n"/>
      <c r="B2195" s="27" t="n"/>
      <c r="C2195" s="28" t="n"/>
      <c r="D2195" s="29" t="n"/>
      <c r="E2195" s="29" t="n"/>
      <c r="F2195" s="29" t="n"/>
      <c r="G2195" s="30" t="n"/>
      <c r="H2195" s="31">
        <f>IF(G2195="","",SUMIF(C$2:C2195,"Masuk",G$2:G2195)-SUMIF(C$2:C2195,"Keluar",G$2:G2195))</f>
        <v/>
      </c>
    </row>
    <row r="2196">
      <c r="A2196" s="22" t="n"/>
      <c r="B2196" s="23" t="n"/>
      <c r="C2196" s="24" t="n"/>
      <c r="D2196" s="17" t="n"/>
      <c r="E2196" s="17" t="n"/>
      <c r="F2196" s="17" t="n"/>
      <c r="G2196" s="15" t="n"/>
      <c r="H2196" s="25">
        <f>IF(G2196="","",SUMIF(C$2:C2196,"Masuk",G$2:G2196)-SUMIF(C$2:C2196,"Keluar",G$2:G2196))</f>
        <v/>
      </c>
    </row>
    <row r="2197">
      <c r="A2197" s="26" t="n"/>
      <c r="B2197" s="27" t="n"/>
      <c r="C2197" s="28" t="n"/>
      <c r="D2197" s="29" t="n"/>
      <c r="E2197" s="29" t="n"/>
      <c r="F2197" s="29" t="n"/>
      <c r="G2197" s="30" t="n"/>
      <c r="H2197" s="31">
        <f>IF(G2197="","",SUMIF(C$2:C2197,"Masuk",G$2:G2197)-SUMIF(C$2:C2197,"Keluar",G$2:G2197))</f>
        <v/>
      </c>
    </row>
    <row r="2198">
      <c r="A2198" s="22" t="n"/>
      <c r="B2198" s="23" t="n"/>
      <c r="C2198" s="24" t="n"/>
      <c r="D2198" s="17" t="n"/>
      <c r="E2198" s="17" t="n"/>
      <c r="F2198" s="17" t="n"/>
      <c r="G2198" s="15" t="n"/>
      <c r="H2198" s="25">
        <f>IF(G2198="","",SUMIF(C$2:C2198,"Masuk",G$2:G2198)-SUMIF(C$2:C2198,"Keluar",G$2:G2198))</f>
        <v/>
      </c>
    </row>
    <row r="2199">
      <c r="A2199" s="26" t="n"/>
      <c r="B2199" s="27" t="n"/>
      <c r="C2199" s="28" t="n"/>
      <c r="D2199" s="29" t="n"/>
      <c r="E2199" s="29" t="n"/>
      <c r="F2199" s="29" t="n"/>
      <c r="G2199" s="30" t="n"/>
      <c r="H2199" s="31">
        <f>IF(G2199="","",SUMIF(C$2:C2199,"Masuk",G$2:G2199)-SUMIF(C$2:C2199,"Keluar",G$2:G2199))</f>
        <v/>
      </c>
    </row>
    <row r="2200">
      <c r="A2200" s="22" t="n"/>
      <c r="B2200" s="23" t="n"/>
      <c r="C2200" s="24" t="n"/>
      <c r="D2200" s="17" t="n"/>
      <c r="E2200" s="17" t="n"/>
      <c r="F2200" s="17" t="n"/>
      <c r="G2200" s="15" t="n"/>
      <c r="H2200" s="25">
        <f>IF(G2200="","",SUMIF(C$2:C2200,"Masuk",G$2:G2200)-SUMIF(C$2:C2200,"Keluar",G$2:G2200))</f>
        <v/>
      </c>
    </row>
    <row r="2201">
      <c r="A2201" s="26" t="n"/>
      <c r="B2201" s="27" t="n"/>
      <c r="C2201" s="28" t="n"/>
      <c r="D2201" s="29" t="n"/>
      <c r="E2201" s="29" t="n"/>
      <c r="F2201" s="29" t="n"/>
      <c r="G2201" s="30" t="n"/>
      <c r="H2201" s="31">
        <f>IF(G2201="","",SUMIF(C$2:C2201,"Masuk",G$2:G2201)-SUMIF(C$2:C2201,"Keluar",G$2:G2201))</f>
        <v/>
      </c>
    </row>
    <row r="2202">
      <c r="A2202" s="22" t="n"/>
      <c r="B2202" s="23" t="n"/>
      <c r="C2202" s="24" t="n"/>
      <c r="D2202" s="17" t="n"/>
      <c r="E2202" s="17" t="n"/>
      <c r="F2202" s="17" t="n"/>
      <c r="G2202" s="15" t="n"/>
      <c r="H2202" s="25">
        <f>IF(G2202="","",SUMIF(C$2:C2202,"Masuk",G$2:G2202)-SUMIF(C$2:C2202,"Keluar",G$2:G2202))</f>
        <v/>
      </c>
    </row>
    <row r="2203">
      <c r="A2203" s="26" t="n"/>
      <c r="B2203" s="27" t="n"/>
      <c r="C2203" s="28" t="n"/>
      <c r="D2203" s="29" t="n"/>
      <c r="E2203" s="29" t="n"/>
      <c r="F2203" s="29" t="n"/>
      <c r="G2203" s="30" t="n"/>
      <c r="H2203" s="31">
        <f>IF(G2203="","",SUMIF(C$2:C2203,"Masuk",G$2:G2203)-SUMIF(C$2:C2203,"Keluar",G$2:G2203))</f>
        <v/>
      </c>
    </row>
    <row r="2204">
      <c r="A2204" s="22" t="n"/>
      <c r="B2204" s="23" t="n"/>
      <c r="C2204" s="24" t="n"/>
      <c r="D2204" s="17" t="n"/>
      <c r="E2204" s="17" t="n"/>
      <c r="F2204" s="17" t="n"/>
      <c r="G2204" s="15" t="n"/>
      <c r="H2204" s="25">
        <f>IF(G2204="","",SUMIF(C$2:C2204,"Masuk",G$2:G2204)-SUMIF(C$2:C2204,"Keluar",G$2:G2204))</f>
        <v/>
      </c>
    </row>
    <row r="2205">
      <c r="A2205" s="26" t="n"/>
      <c r="B2205" s="27" t="n"/>
      <c r="C2205" s="28" t="n"/>
      <c r="D2205" s="29" t="n"/>
      <c r="E2205" s="29" t="n"/>
      <c r="F2205" s="29" t="n"/>
      <c r="G2205" s="30" t="n"/>
      <c r="H2205" s="31">
        <f>IF(G2205="","",SUMIF(C$2:C2205,"Masuk",G$2:G2205)-SUMIF(C$2:C2205,"Keluar",G$2:G2205))</f>
        <v/>
      </c>
    </row>
    <row r="2206">
      <c r="A2206" s="22" t="n"/>
      <c r="B2206" s="23" t="n"/>
      <c r="C2206" s="24" t="n"/>
      <c r="D2206" s="17" t="n"/>
      <c r="E2206" s="17" t="n"/>
      <c r="F2206" s="17" t="n"/>
      <c r="G2206" s="15" t="n"/>
      <c r="H2206" s="25">
        <f>IF(G2206="","",SUMIF(C$2:C2206,"Masuk",G$2:G2206)-SUMIF(C$2:C2206,"Keluar",G$2:G2206))</f>
        <v/>
      </c>
    </row>
    <row r="2207">
      <c r="A2207" s="26" t="n"/>
      <c r="B2207" s="27" t="n"/>
      <c r="C2207" s="28" t="n"/>
      <c r="D2207" s="29" t="n"/>
      <c r="E2207" s="29" t="n"/>
      <c r="F2207" s="29" t="n"/>
      <c r="G2207" s="30" t="n"/>
      <c r="H2207" s="31">
        <f>IF(G2207="","",SUMIF(C$2:C2207,"Masuk",G$2:G2207)-SUMIF(C$2:C2207,"Keluar",G$2:G2207))</f>
        <v/>
      </c>
    </row>
    <row r="2208">
      <c r="A2208" s="22" t="n"/>
      <c r="B2208" s="23" t="n"/>
      <c r="C2208" s="24" t="n"/>
      <c r="D2208" s="17" t="n"/>
      <c r="E2208" s="17" t="n"/>
      <c r="F2208" s="17" t="n"/>
      <c r="G2208" s="15" t="n"/>
      <c r="H2208" s="25">
        <f>IF(G2208="","",SUMIF(C$2:C2208,"Masuk",G$2:G2208)-SUMIF(C$2:C2208,"Keluar",G$2:G2208))</f>
        <v/>
      </c>
    </row>
    <row r="2209">
      <c r="A2209" s="26" t="n"/>
      <c r="B2209" s="27" t="n"/>
      <c r="C2209" s="28" t="n"/>
      <c r="D2209" s="29" t="n"/>
      <c r="E2209" s="29" t="n"/>
      <c r="F2209" s="29" t="n"/>
      <c r="G2209" s="30" t="n"/>
      <c r="H2209" s="31">
        <f>IF(G2209="","",SUMIF(C$2:C2209,"Masuk",G$2:G2209)-SUMIF(C$2:C2209,"Keluar",G$2:G2209))</f>
        <v/>
      </c>
    </row>
    <row r="2210">
      <c r="A2210" s="22" t="n"/>
      <c r="B2210" s="23" t="n"/>
      <c r="C2210" s="24" t="n"/>
      <c r="D2210" s="17" t="n"/>
      <c r="E2210" s="17" t="n"/>
      <c r="F2210" s="17" t="n"/>
      <c r="G2210" s="15" t="n"/>
      <c r="H2210" s="25">
        <f>IF(G2210="","",SUMIF(C$2:C2210,"Masuk",G$2:G2210)-SUMIF(C$2:C2210,"Keluar",G$2:G2210))</f>
        <v/>
      </c>
    </row>
    <row r="2211">
      <c r="A2211" s="26" t="n"/>
      <c r="B2211" s="27" t="n"/>
      <c r="C2211" s="28" t="n"/>
      <c r="D2211" s="29" t="n"/>
      <c r="E2211" s="29" t="n"/>
      <c r="F2211" s="29" t="n"/>
      <c r="G2211" s="30" t="n"/>
      <c r="H2211" s="31">
        <f>IF(G2211="","",SUMIF(C$2:C2211,"Masuk",G$2:G2211)-SUMIF(C$2:C2211,"Keluar",G$2:G2211))</f>
        <v/>
      </c>
    </row>
    <row r="2212">
      <c r="A2212" s="22" t="n"/>
      <c r="B2212" s="23" t="n"/>
      <c r="C2212" s="24" t="n"/>
      <c r="D2212" s="17" t="n"/>
      <c r="E2212" s="17" t="n"/>
      <c r="F2212" s="17" t="n"/>
      <c r="G2212" s="15" t="n"/>
      <c r="H2212" s="25">
        <f>IF(G2212="","",SUMIF(C$2:C2212,"Masuk",G$2:G2212)-SUMIF(C$2:C2212,"Keluar",G$2:G2212))</f>
        <v/>
      </c>
    </row>
    <row r="2213">
      <c r="A2213" s="26" t="n"/>
      <c r="B2213" s="27" t="n"/>
      <c r="C2213" s="28" t="n"/>
      <c r="D2213" s="29" t="n"/>
      <c r="E2213" s="29" t="n"/>
      <c r="F2213" s="29" t="n"/>
      <c r="G2213" s="30" t="n"/>
      <c r="H2213" s="31">
        <f>IF(G2213="","",SUMIF(C$2:C2213,"Masuk",G$2:G2213)-SUMIF(C$2:C2213,"Keluar",G$2:G2213))</f>
        <v/>
      </c>
    </row>
    <row r="2214">
      <c r="A2214" s="22" t="n"/>
      <c r="B2214" s="23" t="n"/>
      <c r="C2214" s="24" t="n"/>
      <c r="D2214" s="17" t="n"/>
      <c r="E2214" s="17" t="n"/>
      <c r="F2214" s="17" t="n"/>
      <c r="G2214" s="15" t="n"/>
      <c r="H2214" s="25">
        <f>IF(G2214="","",SUMIF(C$2:C2214,"Masuk",G$2:G2214)-SUMIF(C$2:C2214,"Keluar",G$2:G2214))</f>
        <v/>
      </c>
    </row>
    <row r="2215">
      <c r="A2215" s="26" t="n"/>
      <c r="B2215" s="27" t="n"/>
      <c r="C2215" s="28" t="n"/>
      <c r="D2215" s="29" t="n"/>
      <c r="E2215" s="29" t="n"/>
      <c r="F2215" s="29" t="n"/>
      <c r="G2215" s="30" t="n"/>
      <c r="H2215" s="31">
        <f>IF(G2215="","",SUMIF(C$2:C2215,"Masuk",G$2:G2215)-SUMIF(C$2:C2215,"Keluar",G$2:G2215))</f>
        <v/>
      </c>
    </row>
    <row r="2216">
      <c r="A2216" s="22" t="n"/>
      <c r="B2216" s="23" t="n"/>
      <c r="C2216" s="24" t="n"/>
      <c r="D2216" s="17" t="n"/>
      <c r="E2216" s="17" t="n"/>
      <c r="F2216" s="17" t="n"/>
      <c r="G2216" s="15" t="n"/>
      <c r="H2216" s="25">
        <f>IF(G2216="","",SUMIF(C$2:C2216,"Masuk",G$2:G2216)-SUMIF(C$2:C2216,"Keluar",G$2:G2216))</f>
        <v/>
      </c>
    </row>
    <row r="2217">
      <c r="A2217" s="26" t="n"/>
      <c r="B2217" s="27" t="n"/>
      <c r="C2217" s="28" t="n"/>
      <c r="D2217" s="29" t="n"/>
      <c r="E2217" s="29" t="n"/>
      <c r="F2217" s="29" t="n"/>
      <c r="G2217" s="30" t="n"/>
      <c r="H2217" s="31">
        <f>IF(G2217="","",SUMIF(C$2:C2217,"Masuk",G$2:G2217)-SUMIF(C$2:C2217,"Keluar",G$2:G2217))</f>
        <v/>
      </c>
    </row>
    <row r="2218">
      <c r="A2218" s="22" t="n"/>
      <c r="B2218" s="23" t="n"/>
      <c r="C2218" s="24" t="n"/>
      <c r="D2218" s="17" t="n"/>
      <c r="E2218" s="17" t="n"/>
      <c r="F2218" s="17" t="n"/>
      <c r="G2218" s="15" t="n"/>
      <c r="H2218" s="25">
        <f>IF(G2218="","",SUMIF(C$2:C2218,"Masuk",G$2:G2218)-SUMIF(C$2:C2218,"Keluar",G$2:G2218))</f>
        <v/>
      </c>
    </row>
    <row r="2219">
      <c r="A2219" s="26" t="n"/>
      <c r="B2219" s="27" t="n"/>
      <c r="C2219" s="28" t="n"/>
      <c r="D2219" s="29" t="n"/>
      <c r="E2219" s="29" t="n"/>
      <c r="F2219" s="29" t="n"/>
      <c r="G2219" s="30" t="n"/>
      <c r="H2219" s="31">
        <f>IF(G2219="","",SUMIF(C$2:C2219,"Masuk",G$2:G2219)-SUMIF(C$2:C2219,"Keluar",G$2:G2219))</f>
        <v/>
      </c>
    </row>
    <row r="2220">
      <c r="A2220" s="22" t="n"/>
      <c r="B2220" s="23" t="n"/>
      <c r="C2220" s="24" t="n"/>
      <c r="D2220" s="17" t="n"/>
      <c r="E2220" s="17" t="n"/>
      <c r="F2220" s="17" t="n"/>
      <c r="G2220" s="15" t="n"/>
      <c r="H2220" s="25">
        <f>IF(G2220="","",SUMIF(C$2:C2220,"Masuk",G$2:G2220)-SUMIF(C$2:C2220,"Keluar",G$2:G2220))</f>
        <v/>
      </c>
    </row>
    <row r="2221">
      <c r="A2221" s="26" t="n"/>
      <c r="B2221" s="27" t="n"/>
      <c r="C2221" s="28" t="n"/>
      <c r="D2221" s="29" t="n"/>
      <c r="E2221" s="29" t="n"/>
      <c r="F2221" s="29" t="n"/>
      <c r="G2221" s="30" t="n"/>
      <c r="H2221" s="31">
        <f>IF(G2221="","",SUMIF(C$2:C2221,"Masuk",G$2:G2221)-SUMIF(C$2:C2221,"Keluar",G$2:G2221))</f>
        <v/>
      </c>
    </row>
    <row r="2222">
      <c r="A2222" s="22" t="n"/>
      <c r="B2222" s="23" t="n"/>
      <c r="C2222" s="24" t="n"/>
      <c r="D2222" s="17" t="n"/>
      <c r="E2222" s="17" t="n"/>
      <c r="F2222" s="17" t="n"/>
      <c r="G2222" s="15" t="n"/>
      <c r="H2222" s="25">
        <f>IF(G2222="","",SUMIF(C$2:C2222,"Masuk",G$2:G2222)-SUMIF(C$2:C2222,"Keluar",G$2:G2222))</f>
        <v/>
      </c>
    </row>
    <row r="2223">
      <c r="A2223" s="26" t="n"/>
      <c r="B2223" s="27" t="n"/>
      <c r="C2223" s="28" t="n"/>
      <c r="D2223" s="29" t="n"/>
      <c r="E2223" s="29" t="n"/>
      <c r="F2223" s="29" t="n"/>
      <c r="G2223" s="30" t="n"/>
      <c r="H2223" s="31">
        <f>IF(G2223="","",SUMIF(C$2:C2223,"Masuk",G$2:G2223)-SUMIF(C$2:C2223,"Keluar",G$2:G2223))</f>
        <v/>
      </c>
    </row>
    <row r="2224">
      <c r="A2224" s="22" t="n"/>
      <c r="B2224" s="23" t="n"/>
      <c r="C2224" s="24" t="n"/>
      <c r="D2224" s="17" t="n"/>
      <c r="E2224" s="17" t="n"/>
      <c r="F2224" s="17" t="n"/>
      <c r="G2224" s="15" t="n"/>
      <c r="H2224" s="25">
        <f>IF(G2224="","",SUMIF(C$2:C2224,"Masuk",G$2:G2224)-SUMIF(C$2:C2224,"Keluar",G$2:G2224))</f>
        <v/>
      </c>
    </row>
    <row r="2225">
      <c r="A2225" s="26" t="n"/>
      <c r="B2225" s="27" t="n"/>
      <c r="C2225" s="28" t="n"/>
      <c r="D2225" s="29" t="n"/>
      <c r="E2225" s="29" t="n"/>
      <c r="F2225" s="29" t="n"/>
      <c r="G2225" s="30" t="n"/>
      <c r="H2225" s="31">
        <f>IF(G2225="","",SUMIF(C$2:C2225,"Masuk",G$2:G2225)-SUMIF(C$2:C2225,"Keluar",G$2:G2225))</f>
        <v/>
      </c>
    </row>
    <row r="2226">
      <c r="A2226" s="22" t="n"/>
      <c r="B2226" s="23" t="n"/>
      <c r="C2226" s="24" t="n"/>
      <c r="D2226" s="17" t="n"/>
      <c r="E2226" s="17" t="n"/>
      <c r="F2226" s="17" t="n"/>
      <c r="G2226" s="15" t="n"/>
      <c r="H2226" s="25">
        <f>IF(G2226="","",SUMIF(C$2:C2226,"Masuk",G$2:G2226)-SUMIF(C$2:C2226,"Keluar",G$2:G2226))</f>
        <v/>
      </c>
    </row>
    <row r="2227">
      <c r="A2227" s="26" t="n"/>
      <c r="B2227" s="27" t="n"/>
      <c r="C2227" s="28" t="n"/>
      <c r="D2227" s="29" t="n"/>
      <c r="E2227" s="29" t="n"/>
      <c r="F2227" s="29" t="n"/>
      <c r="G2227" s="30" t="n"/>
      <c r="H2227" s="31">
        <f>IF(G2227="","",SUMIF(C$2:C2227,"Masuk",G$2:G2227)-SUMIF(C$2:C2227,"Keluar",G$2:G2227))</f>
        <v/>
      </c>
    </row>
    <row r="2228">
      <c r="A2228" s="22" t="n"/>
      <c r="B2228" s="23" t="n"/>
      <c r="C2228" s="24" t="n"/>
      <c r="D2228" s="17" t="n"/>
      <c r="E2228" s="17" t="n"/>
      <c r="F2228" s="17" t="n"/>
      <c r="G2228" s="15" t="n"/>
      <c r="H2228" s="25">
        <f>IF(G2228="","",SUMIF(C$2:C2228,"Masuk",G$2:G2228)-SUMIF(C$2:C2228,"Keluar",G$2:G2228))</f>
        <v/>
      </c>
    </row>
    <row r="2229">
      <c r="A2229" s="26" t="n"/>
      <c r="B2229" s="27" t="n"/>
      <c r="C2229" s="28" t="n"/>
      <c r="D2229" s="29" t="n"/>
      <c r="E2229" s="29" t="n"/>
      <c r="F2229" s="29" t="n"/>
      <c r="G2229" s="30" t="n"/>
      <c r="H2229" s="31">
        <f>IF(G2229="","",SUMIF(C$2:C2229,"Masuk",G$2:G2229)-SUMIF(C$2:C2229,"Keluar",G$2:G2229))</f>
        <v/>
      </c>
    </row>
    <row r="2230">
      <c r="A2230" s="22" t="n"/>
      <c r="B2230" s="23" t="n"/>
      <c r="C2230" s="24" t="n"/>
      <c r="D2230" s="17" t="n"/>
      <c r="E2230" s="17" t="n"/>
      <c r="F2230" s="17" t="n"/>
      <c r="G2230" s="15" t="n"/>
      <c r="H2230" s="25">
        <f>IF(G2230="","",SUMIF(C$2:C2230,"Masuk",G$2:G2230)-SUMIF(C$2:C2230,"Keluar",G$2:G2230))</f>
        <v/>
      </c>
    </row>
    <row r="2231">
      <c r="A2231" s="26" t="n"/>
      <c r="B2231" s="27" t="n"/>
      <c r="C2231" s="28" t="n"/>
      <c r="D2231" s="29" t="n"/>
      <c r="E2231" s="29" t="n"/>
      <c r="F2231" s="29" t="n"/>
      <c r="G2231" s="30" t="n"/>
      <c r="H2231" s="31">
        <f>IF(G2231="","",SUMIF(C$2:C2231,"Masuk",G$2:G2231)-SUMIF(C$2:C2231,"Keluar",G$2:G2231))</f>
        <v/>
      </c>
    </row>
    <row r="2232">
      <c r="A2232" s="22" t="n"/>
      <c r="B2232" s="23" t="n"/>
      <c r="C2232" s="24" t="n"/>
      <c r="D2232" s="17" t="n"/>
      <c r="E2232" s="17" t="n"/>
      <c r="F2232" s="17" t="n"/>
      <c r="G2232" s="15" t="n"/>
      <c r="H2232" s="25">
        <f>IF(G2232="","",SUMIF(C$2:C2232,"Masuk",G$2:G2232)-SUMIF(C$2:C2232,"Keluar",G$2:G2232))</f>
        <v/>
      </c>
    </row>
    <row r="2233">
      <c r="A2233" s="26" t="n"/>
      <c r="B2233" s="27" t="n"/>
      <c r="C2233" s="28" t="n"/>
      <c r="D2233" s="29" t="n"/>
      <c r="E2233" s="29" t="n"/>
      <c r="F2233" s="29" t="n"/>
      <c r="G2233" s="30" t="n"/>
      <c r="H2233" s="31">
        <f>IF(G2233="","",SUMIF(C$2:C2233,"Masuk",G$2:G2233)-SUMIF(C$2:C2233,"Keluar",G$2:G2233))</f>
        <v/>
      </c>
    </row>
    <row r="2234">
      <c r="A2234" s="22" t="n"/>
      <c r="B2234" s="23" t="n"/>
      <c r="C2234" s="24" t="n"/>
      <c r="D2234" s="17" t="n"/>
      <c r="E2234" s="17" t="n"/>
      <c r="F2234" s="17" t="n"/>
      <c r="G2234" s="15" t="n"/>
      <c r="H2234" s="25">
        <f>IF(G2234="","",SUMIF(C$2:C2234,"Masuk",G$2:G2234)-SUMIF(C$2:C2234,"Keluar",G$2:G2234))</f>
        <v/>
      </c>
    </row>
    <row r="2235">
      <c r="A2235" s="26" t="n"/>
      <c r="B2235" s="27" t="n"/>
      <c r="C2235" s="28" t="n"/>
      <c r="D2235" s="29" t="n"/>
      <c r="E2235" s="29" t="n"/>
      <c r="F2235" s="29" t="n"/>
      <c r="G2235" s="30" t="n"/>
      <c r="H2235" s="31">
        <f>IF(G2235="","",SUMIF(C$2:C2235,"Masuk",G$2:G2235)-SUMIF(C$2:C2235,"Keluar",G$2:G2235))</f>
        <v/>
      </c>
    </row>
    <row r="2236">
      <c r="A2236" s="22" t="n"/>
      <c r="B2236" s="23" t="n"/>
      <c r="C2236" s="24" t="n"/>
      <c r="D2236" s="17" t="n"/>
      <c r="E2236" s="17" t="n"/>
      <c r="F2236" s="17" t="n"/>
      <c r="G2236" s="15" t="n"/>
      <c r="H2236" s="25">
        <f>IF(G2236="","",SUMIF(C$2:C2236,"Masuk",G$2:G2236)-SUMIF(C$2:C2236,"Keluar",G$2:G2236))</f>
        <v/>
      </c>
    </row>
    <row r="2237">
      <c r="A2237" s="26" t="n"/>
      <c r="B2237" s="27" t="n"/>
      <c r="C2237" s="28" t="n"/>
      <c r="D2237" s="29" t="n"/>
      <c r="E2237" s="29" t="n"/>
      <c r="F2237" s="29" t="n"/>
      <c r="G2237" s="30" t="n"/>
      <c r="H2237" s="31">
        <f>IF(G2237="","",SUMIF(C$2:C2237,"Masuk",G$2:G2237)-SUMIF(C$2:C2237,"Keluar",G$2:G2237))</f>
        <v/>
      </c>
    </row>
    <row r="2238">
      <c r="A2238" s="22" t="n"/>
      <c r="B2238" s="23" t="n"/>
      <c r="C2238" s="24" t="n"/>
      <c r="D2238" s="17" t="n"/>
      <c r="E2238" s="17" t="n"/>
      <c r="F2238" s="17" t="n"/>
      <c r="G2238" s="15" t="n"/>
      <c r="H2238" s="25">
        <f>IF(G2238="","",SUMIF(C$2:C2238,"Masuk",G$2:G2238)-SUMIF(C$2:C2238,"Keluar",G$2:G2238))</f>
        <v/>
      </c>
    </row>
    <row r="2239">
      <c r="A2239" s="26" t="n"/>
      <c r="B2239" s="27" t="n"/>
      <c r="C2239" s="28" t="n"/>
      <c r="D2239" s="29" t="n"/>
      <c r="E2239" s="29" t="n"/>
      <c r="F2239" s="29" t="n"/>
      <c r="G2239" s="30" t="n"/>
      <c r="H2239" s="31">
        <f>IF(G2239="","",SUMIF(C$2:C2239,"Masuk",G$2:G2239)-SUMIF(C$2:C2239,"Keluar",G$2:G2239))</f>
        <v/>
      </c>
    </row>
    <row r="2240">
      <c r="A2240" s="22" t="n"/>
      <c r="B2240" s="23" t="n"/>
      <c r="C2240" s="24" t="n"/>
      <c r="D2240" s="17" t="n"/>
      <c r="E2240" s="17" t="n"/>
      <c r="F2240" s="17" t="n"/>
      <c r="G2240" s="15" t="n"/>
      <c r="H2240" s="25">
        <f>IF(G2240="","",SUMIF(C$2:C2240,"Masuk",G$2:G2240)-SUMIF(C$2:C2240,"Keluar",G$2:G2240))</f>
        <v/>
      </c>
    </row>
    <row r="2241">
      <c r="A2241" s="26" t="n"/>
      <c r="B2241" s="27" t="n"/>
      <c r="C2241" s="28" t="n"/>
      <c r="D2241" s="29" t="n"/>
      <c r="E2241" s="29" t="n"/>
      <c r="F2241" s="29" t="n"/>
      <c r="G2241" s="30" t="n"/>
      <c r="H2241" s="31">
        <f>IF(G2241="","",SUMIF(C$2:C2241,"Masuk",G$2:G2241)-SUMIF(C$2:C2241,"Keluar",G$2:G2241))</f>
        <v/>
      </c>
    </row>
    <row r="2242">
      <c r="A2242" s="22" t="n"/>
      <c r="B2242" s="23" t="n"/>
      <c r="C2242" s="24" t="n"/>
      <c r="D2242" s="17" t="n"/>
      <c r="E2242" s="17" t="n"/>
      <c r="F2242" s="17" t="n"/>
      <c r="G2242" s="15" t="n"/>
      <c r="H2242" s="25">
        <f>IF(G2242="","",SUMIF(C$2:C2242,"Masuk",G$2:G2242)-SUMIF(C$2:C2242,"Keluar",G$2:G2242))</f>
        <v/>
      </c>
    </row>
    <row r="2243">
      <c r="A2243" s="26" t="n"/>
      <c r="B2243" s="27" t="n"/>
      <c r="C2243" s="28" t="n"/>
      <c r="D2243" s="29" t="n"/>
      <c r="E2243" s="29" t="n"/>
      <c r="F2243" s="29" t="n"/>
      <c r="G2243" s="30" t="n"/>
      <c r="H2243" s="31">
        <f>IF(G2243="","",SUMIF(C$2:C2243,"Masuk",G$2:G2243)-SUMIF(C$2:C2243,"Keluar",G$2:G2243))</f>
        <v/>
      </c>
    </row>
    <row r="2244">
      <c r="A2244" s="22" t="n"/>
      <c r="B2244" s="23" t="n"/>
      <c r="C2244" s="24" t="n"/>
      <c r="D2244" s="17" t="n"/>
      <c r="E2244" s="17" t="n"/>
      <c r="F2244" s="17" t="n"/>
      <c r="G2244" s="15" t="n"/>
      <c r="H2244" s="25">
        <f>IF(G2244="","",SUMIF(C$2:C2244,"Masuk",G$2:G2244)-SUMIF(C$2:C2244,"Keluar",G$2:G2244))</f>
        <v/>
      </c>
    </row>
    <row r="2245">
      <c r="A2245" s="26" t="n"/>
      <c r="B2245" s="27" t="n"/>
      <c r="C2245" s="28" t="n"/>
      <c r="D2245" s="29" t="n"/>
      <c r="E2245" s="29" t="n"/>
      <c r="F2245" s="29" t="n"/>
      <c r="G2245" s="30" t="n"/>
      <c r="H2245" s="31">
        <f>IF(G2245="","",SUMIF(C$2:C2245,"Masuk",G$2:G2245)-SUMIF(C$2:C2245,"Keluar",G$2:G2245))</f>
        <v/>
      </c>
    </row>
    <row r="2246">
      <c r="A2246" s="22" t="n"/>
      <c r="B2246" s="23" t="n"/>
      <c r="C2246" s="24" t="n"/>
      <c r="D2246" s="17" t="n"/>
      <c r="E2246" s="17" t="n"/>
      <c r="F2246" s="17" t="n"/>
      <c r="G2246" s="15" t="n"/>
      <c r="H2246" s="25">
        <f>IF(G2246="","",SUMIF(C$2:C2246,"Masuk",G$2:G2246)-SUMIF(C$2:C2246,"Keluar",G$2:G2246))</f>
        <v/>
      </c>
    </row>
    <row r="2247">
      <c r="A2247" s="26" t="n"/>
      <c r="B2247" s="27" t="n"/>
      <c r="C2247" s="28" t="n"/>
      <c r="D2247" s="29" t="n"/>
      <c r="E2247" s="29" t="n"/>
      <c r="F2247" s="29" t="n"/>
      <c r="G2247" s="30" t="n"/>
      <c r="H2247" s="31">
        <f>IF(G2247="","",SUMIF(C$2:C2247,"Masuk",G$2:G2247)-SUMIF(C$2:C2247,"Keluar",G$2:G2247))</f>
        <v/>
      </c>
    </row>
    <row r="2248">
      <c r="A2248" s="22" t="n"/>
      <c r="B2248" s="23" t="n"/>
      <c r="C2248" s="24" t="n"/>
      <c r="D2248" s="17" t="n"/>
      <c r="E2248" s="17" t="n"/>
      <c r="F2248" s="17" t="n"/>
      <c r="G2248" s="15" t="n"/>
      <c r="H2248" s="25">
        <f>IF(G2248="","",SUMIF(C$2:C2248,"Masuk",G$2:G2248)-SUMIF(C$2:C2248,"Keluar",G$2:G2248))</f>
        <v/>
      </c>
    </row>
    <row r="2249">
      <c r="A2249" s="26" t="n"/>
      <c r="B2249" s="27" t="n"/>
      <c r="C2249" s="28" t="n"/>
      <c r="D2249" s="29" t="n"/>
      <c r="E2249" s="29" t="n"/>
      <c r="F2249" s="29" t="n"/>
      <c r="G2249" s="30" t="n"/>
      <c r="H2249" s="31">
        <f>IF(G2249="","",SUMIF(C$2:C2249,"Masuk",G$2:G2249)-SUMIF(C$2:C2249,"Keluar",G$2:G2249))</f>
        <v/>
      </c>
    </row>
    <row r="2250">
      <c r="A2250" s="22" t="n"/>
      <c r="B2250" s="23" t="n"/>
      <c r="C2250" s="24" t="n"/>
      <c r="D2250" s="17" t="n"/>
      <c r="E2250" s="17" t="n"/>
      <c r="F2250" s="17" t="n"/>
      <c r="G2250" s="15" t="n"/>
      <c r="H2250" s="25">
        <f>IF(G2250="","",SUMIF(C$2:C2250,"Masuk",G$2:G2250)-SUMIF(C$2:C2250,"Keluar",G$2:G2250))</f>
        <v/>
      </c>
    </row>
    <row r="2251">
      <c r="A2251" s="26" t="n"/>
      <c r="B2251" s="27" t="n"/>
      <c r="C2251" s="28" t="n"/>
      <c r="D2251" s="29" t="n"/>
      <c r="E2251" s="29" t="n"/>
      <c r="F2251" s="29" t="n"/>
      <c r="G2251" s="30" t="n"/>
      <c r="H2251" s="31">
        <f>IF(G2251="","",SUMIF(C$2:C2251,"Masuk",G$2:G2251)-SUMIF(C$2:C2251,"Keluar",G$2:G2251))</f>
        <v/>
      </c>
    </row>
    <row r="2252">
      <c r="A2252" s="22" t="n"/>
      <c r="B2252" s="23" t="n"/>
      <c r="C2252" s="24" t="n"/>
      <c r="D2252" s="17" t="n"/>
      <c r="E2252" s="17" t="n"/>
      <c r="F2252" s="17" t="n"/>
      <c r="G2252" s="15" t="n"/>
      <c r="H2252" s="25">
        <f>IF(G2252="","",SUMIF(C$2:C2252,"Masuk",G$2:G2252)-SUMIF(C$2:C2252,"Keluar",G$2:G2252))</f>
        <v/>
      </c>
    </row>
    <row r="2253">
      <c r="A2253" s="26" t="n"/>
      <c r="B2253" s="27" t="n"/>
      <c r="C2253" s="28" t="n"/>
      <c r="D2253" s="29" t="n"/>
      <c r="E2253" s="29" t="n"/>
      <c r="F2253" s="29" t="n"/>
      <c r="G2253" s="30" t="n"/>
      <c r="H2253" s="31">
        <f>IF(G2253="","",SUMIF(C$2:C2253,"Masuk",G$2:G2253)-SUMIF(C$2:C2253,"Keluar",G$2:G2253))</f>
        <v/>
      </c>
    </row>
    <row r="2254">
      <c r="A2254" s="22" t="n"/>
      <c r="B2254" s="23" t="n"/>
      <c r="C2254" s="24" t="n"/>
      <c r="D2254" s="17" t="n"/>
      <c r="E2254" s="17" t="n"/>
      <c r="F2254" s="17" t="n"/>
      <c r="G2254" s="15" t="n"/>
      <c r="H2254" s="25">
        <f>IF(G2254="","",SUMIF(C$2:C2254,"Masuk",G$2:G2254)-SUMIF(C$2:C2254,"Keluar",G$2:G2254))</f>
        <v/>
      </c>
    </row>
    <row r="2255">
      <c r="A2255" s="26" t="n"/>
      <c r="B2255" s="27" t="n"/>
      <c r="C2255" s="28" t="n"/>
      <c r="D2255" s="29" t="n"/>
      <c r="E2255" s="29" t="n"/>
      <c r="F2255" s="29" t="n"/>
      <c r="G2255" s="30" t="n"/>
      <c r="H2255" s="31">
        <f>IF(G2255="","",SUMIF(C$2:C2255,"Masuk",G$2:G2255)-SUMIF(C$2:C2255,"Keluar",G$2:G2255))</f>
        <v/>
      </c>
    </row>
    <row r="2256">
      <c r="A2256" s="22" t="n"/>
      <c r="B2256" s="23" t="n"/>
      <c r="C2256" s="24" t="n"/>
      <c r="D2256" s="17" t="n"/>
      <c r="E2256" s="17" t="n"/>
      <c r="F2256" s="17" t="n"/>
      <c r="G2256" s="15" t="n"/>
      <c r="H2256" s="25">
        <f>IF(G2256="","",SUMIF(C$2:C2256,"Masuk",G$2:G2256)-SUMIF(C$2:C2256,"Keluar",G$2:G2256))</f>
        <v/>
      </c>
    </row>
    <row r="2257">
      <c r="A2257" s="26" t="n"/>
      <c r="B2257" s="27" t="n"/>
      <c r="C2257" s="28" t="n"/>
      <c r="D2257" s="29" t="n"/>
      <c r="E2257" s="29" t="n"/>
      <c r="F2257" s="29" t="n"/>
      <c r="G2257" s="30" t="n"/>
      <c r="H2257" s="31">
        <f>IF(G2257="","",SUMIF(C$2:C2257,"Masuk",G$2:G2257)-SUMIF(C$2:C2257,"Keluar",G$2:G2257))</f>
        <v/>
      </c>
    </row>
    <row r="2258">
      <c r="A2258" s="22" t="n"/>
      <c r="B2258" s="23" t="n"/>
      <c r="C2258" s="24" t="n"/>
      <c r="D2258" s="17" t="n"/>
      <c r="E2258" s="17" t="n"/>
      <c r="F2258" s="17" t="n"/>
      <c r="G2258" s="15" t="n"/>
      <c r="H2258" s="25">
        <f>IF(G2258="","",SUMIF(C$2:C2258,"Masuk",G$2:G2258)-SUMIF(C$2:C2258,"Keluar",G$2:G2258))</f>
        <v/>
      </c>
    </row>
    <row r="2259">
      <c r="A2259" s="26" t="n"/>
      <c r="B2259" s="27" t="n"/>
      <c r="C2259" s="28" t="n"/>
      <c r="D2259" s="29" t="n"/>
      <c r="E2259" s="29" t="n"/>
      <c r="F2259" s="29" t="n"/>
      <c r="G2259" s="30" t="n"/>
      <c r="H2259" s="31">
        <f>IF(G2259="","",SUMIF(C$2:C2259,"Masuk",G$2:G2259)-SUMIF(C$2:C2259,"Keluar",G$2:G2259))</f>
        <v/>
      </c>
    </row>
    <row r="2260">
      <c r="A2260" s="22" t="n"/>
      <c r="B2260" s="23" t="n"/>
      <c r="C2260" s="24" t="n"/>
      <c r="D2260" s="17" t="n"/>
      <c r="E2260" s="17" t="n"/>
      <c r="F2260" s="17" t="n"/>
      <c r="G2260" s="15" t="n"/>
      <c r="H2260" s="25">
        <f>IF(G2260="","",SUMIF(C$2:C2260,"Masuk",G$2:G2260)-SUMIF(C$2:C2260,"Keluar",G$2:G2260))</f>
        <v/>
      </c>
    </row>
    <row r="2261">
      <c r="A2261" s="26" t="n"/>
      <c r="B2261" s="27" t="n"/>
      <c r="C2261" s="28" t="n"/>
      <c r="D2261" s="29" t="n"/>
      <c r="E2261" s="29" t="n"/>
      <c r="F2261" s="29" t="n"/>
      <c r="G2261" s="30" t="n"/>
      <c r="H2261" s="31">
        <f>IF(G2261="","",SUMIF(C$2:C2261,"Masuk",G$2:G2261)-SUMIF(C$2:C2261,"Keluar",G$2:G2261))</f>
        <v/>
      </c>
    </row>
    <row r="2262">
      <c r="A2262" s="22" t="n"/>
      <c r="B2262" s="23" t="n"/>
      <c r="C2262" s="24" t="n"/>
      <c r="D2262" s="17" t="n"/>
      <c r="E2262" s="17" t="n"/>
      <c r="F2262" s="17" t="n"/>
      <c r="G2262" s="15" t="n"/>
      <c r="H2262" s="25">
        <f>IF(G2262="","",SUMIF(C$2:C2262,"Masuk",G$2:G2262)-SUMIF(C$2:C2262,"Keluar",G$2:G2262))</f>
        <v/>
      </c>
    </row>
    <row r="2263">
      <c r="A2263" s="26" t="n"/>
      <c r="B2263" s="27" t="n"/>
      <c r="C2263" s="28" t="n"/>
      <c r="D2263" s="29" t="n"/>
      <c r="E2263" s="29" t="n"/>
      <c r="F2263" s="29" t="n"/>
      <c r="G2263" s="30" t="n"/>
      <c r="H2263" s="31">
        <f>IF(G2263="","",SUMIF(C$2:C2263,"Masuk",G$2:G2263)-SUMIF(C$2:C2263,"Keluar",G$2:G2263))</f>
        <v/>
      </c>
    </row>
    <row r="2264">
      <c r="A2264" s="22" t="n"/>
      <c r="B2264" s="23" t="n"/>
      <c r="C2264" s="24" t="n"/>
      <c r="D2264" s="17" t="n"/>
      <c r="E2264" s="17" t="n"/>
      <c r="F2264" s="17" t="n"/>
      <c r="G2264" s="15" t="n"/>
      <c r="H2264" s="25">
        <f>IF(G2264="","",SUMIF(C$2:C2264,"Masuk",G$2:G2264)-SUMIF(C$2:C2264,"Keluar",G$2:G2264))</f>
        <v/>
      </c>
    </row>
    <row r="2265">
      <c r="A2265" s="26" t="n"/>
      <c r="B2265" s="27" t="n"/>
      <c r="C2265" s="28" t="n"/>
      <c r="D2265" s="29" t="n"/>
      <c r="E2265" s="29" t="n"/>
      <c r="F2265" s="29" t="n"/>
      <c r="G2265" s="30" t="n"/>
      <c r="H2265" s="31">
        <f>IF(G2265="","",SUMIF(C$2:C2265,"Masuk",G$2:G2265)-SUMIF(C$2:C2265,"Keluar",G$2:G2265))</f>
        <v/>
      </c>
    </row>
    <row r="2266">
      <c r="A2266" s="22" t="n"/>
      <c r="B2266" s="23" t="n"/>
      <c r="C2266" s="24" t="n"/>
      <c r="D2266" s="17" t="n"/>
      <c r="E2266" s="17" t="n"/>
      <c r="F2266" s="17" t="n"/>
      <c r="G2266" s="15" t="n"/>
      <c r="H2266" s="25">
        <f>IF(G2266="","",SUMIF(C$2:C2266,"Masuk",G$2:G2266)-SUMIF(C$2:C2266,"Keluar",G$2:G2266))</f>
        <v/>
      </c>
    </row>
    <row r="2267">
      <c r="A2267" s="26" t="n"/>
      <c r="B2267" s="27" t="n"/>
      <c r="C2267" s="28" t="n"/>
      <c r="D2267" s="29" t="n"/>
      <c r="E2267" s="29" t="n"/>
      <c r="F2267" s="29" t="n"/>
      <c r="G2267" s="30" t="n"/>
      <c r="H2267" s="31">
        <f>IF(G2267="","",SUMIF(C$2:C2267,"Masuk",G$2:G2267)-SUMIF(C$2:C2267,"Keluar",G$2:G2267))</f>
        <v/>
      </c>
    </row>
    <row r="2268">
      <c r="A2268" s="22" t="n"/>
      <c r="B2268" s="23" t="n"/>
      <c r="C2268" s="24" t="n"/>
      <c r="D2268" s="17" t="n"/>
      <c r="E2268" s="17" t="n"/>
      <c r="F2268" s="17" t="n"/>
      <c r="G2268" s="15" t="n"/>
      <c r="H2268" s="25">
        <f>IF(G2268="","",SUMIF(C$2:C2268,"Masuk",G$2:G2268)-SUMIF(C$2:C2268,"Keluar",G$2:G2268))</f>
        <v/>
      </c>
    </row>
    <row r="2269">
      <c r="A2269" s="26" t="n"/>
      <c r="B2269" s="27" t="n"/>
      <c r="C2269" s="28" t="n"/>
      <c r="D2269" s="29" t="n"/>
      <c r="E2269" s="29" t="n"/>
      <c r="F2269" s="29" t="n"/>
      <c r="G2269" s="30" t="n"/>
      <c r="H2269" s="31">
        <f>IF(G2269="","",SUMIF(C$2:C2269,"Masuk",G$2:G2269)-SUMIF(C$2:C2269,"Keluar",G$2:G2269))</f>
        <v/>
      </c>
    </row>
    <row r="2270">
      <c r="A2270" s="22" t="n"/>
      <c r="B2270" s="23" t="n"/>
      <c r="C2270" s="24" t="n"/>
      <c r="D2270" s="17" t="n"/>
      <c r="E2270" s="17" t="n"/>
      <c r="F2270" s="17" t="n"/>
      <c r="G2270" s="15" t="n"/>
      <c r="H2270" s="25">
        <f>IF(G2270="","",SUMIF(C$2:C2270,"Masuk",G$2:G2270)-SUMIF(C$2:C2270,"Keluar",G$2:G2270))</f>
        <v/>
      </c>
    </row>
    <row r="2271">
      <c r="A2271" s="26" t="n"/>
      <c r="B2271" s="27" t="n"/>
      <c r="C2271" s="28" t="n"/>
      <c r="D2271" s="29" t="n"/>
      <c r="E2271" s="29" t="n"/>
      <c r="F2271" s="29" t="n"/>
      <c r="G2271" s="30" t="n"/>
      <c r="H2271" s="31">
        <f>IF(G2271="","",SUMIF(C$2:C2271,"Masuk",G$2:G2271)-SUMIF(C$2:C2271,"Keluar",G$2:G2271))</f>
        <v/>
      </c>
    </row>
    <row r="2272">
      <c r="A2272" s="22" t="n"/>
      <c r="B2272" s="23" t="n"/>
      <c r="C2272" s="24" t="n"/>
      <c r="D2272" s="17" t="n"/>
      <c r="E2272" s="17" t="n"/>
      <c r="F2272" s="17" t="n"/>
      <c r="G2272" s="15" t="n"/>
      <c r="H2272" s="25">
        <f>IF(G2272="","",SUMIF(C$2:C2272,"Masuk",G$2:G2272)-SUMIF(C$2:C2272,"Keluar",G$2:G2272))</f>
        <v/>
      </c>
    </row>
    <row r="2273">
      <c r="A2273" s="26" t="n"/>
      <c r="B2273" s="27" t="n"/>
      <c r="C2273" s="28" t="n"/>
      <c r="D2273" s="29" t="n"/>
      <c r="E2273" s="29" t="n"/>
      <c r="F2273" s="29" t="n"/>
      <c r="G2273" s="30" t="n"/>
      <c r="H2273" s="31">
        <f>IF(G2273="","",SUMIF(C$2:C2273,"Masuk",G$2:G2273)-SUMIF(C$2:C2273,"Keluar",G$2:G2273))</f>
        <v/>
      </c>
    </row>
    <row r="2274">
      <c r="A2274" s="22" t="n"/>
      <c r="B2274" s="23" t="n"/>
      <c r="C2274" s="24" t="n"/>
      <c r="D2274" s="17" t="n"/>
      <c r="E2274" s="17" t="n"/>
      <c r="F2274" s="17" t="n"/>
      <c r="G2274" s="15" t="n"/>
      <c r="H2274" s="25">
        <f>IF(G2274="","",SUMIF(C$2:C2274,"Masuk",G$2:G2274)-SUMIF(C$2:C2274,"Keluar",G$2:G2274))</f>
        <v/>
      </c>
    </row>
    <row r="2275">
      <c r="A2275" s="26" t="n"/>
      <c r="B2275" s="27" t="n"/>
      <c r="C2275" s="28" t="n"/>
      <c r="D2275" s="29" t="n"/>
      <c r="E2275" s="29" t="n"/>
      <c r="F2275" s="29" t="n"/>
      <c r="G2275" s="30" t="n"/>
      <c r="H2275" s="31">
        <f>IF(G2275="","",SUMIF(C$2:C2275,"Masuk",G$2:G2275)-SUMIF(C$2:C2275,"Keluar",G$2:G2275))</f>
        <v/>
      </c>
    </row>
    <row r="2276">
      <c r="A2276" s="22" t="n"/>
      <c r="B2276" s="23" t="n"/>
      <c r="C2276" s="24" t="n"/>
      <c r="D2276" s="17" t="n"/>
      <c r="E2276" s="17" t="n"/>
      <c r="F2276" s="17" t="n"/>
      <c r="G2276" s="15" t="n"/>
      <c r="H2276" s="25">
        <f>IF(G2276="","",SUMIF(C$2:C2276,"Masuk",G$2:G2276)-SUMIF(C$2:C2276,"Keluar",G$2:G2276))</f>
        <v/>
      </c>
    </row>
    <row r="2277">
      <c r="A2277" s="26" t="n"/>
      <c r="B2277" s="27" t="n"/>
      <c r="C2277" s="28" t="n"/>
      <c r="D2277" s="29" t="n"/>
      <c r="E2277" s="29" t="n"/>
      <c r="F2277" s="29" t="n"/>
      <c r="G2277" s="30" t="n"/>
      <c r="H2277" s="31">
        <f>IF(G2277="","",SUMIF(C$2:C2277,"Masuk",G$2:G2277)-SUMIF(C$2:C2277,"Keluar",G$2:G2277))</f>
        <v/>
      </c>
    </row>
    <row r="2278">
      <c r="A2278" s="22" t="n"/>
      <c r="B2278" s="23" t="n"/>
      <c r="C2278" s="24" t="n"/>
      <c r="D2278" s="17" t="n"/>
      <c r="E2278" s="17" t="n"/>
      <c r="F2278" s="17" t="n"/>
      <c r="G2278" s="15" t="n"/>
      <c r="H2278" s="25">
        <f>IF(G2278="","",SUMIF(C$2:C2278,"Masuk",G$2:G2278)-SUMIF(C$2:C2278,"Keluar",G$2:G2278))</f>
        <v/>
      </c>
    </row>
    <row r="2279">
      <c r="A2279" s="26" t="n"/>
      <c r="B2279" s="27" t="n"/>
      <c r="C2279" s="28" t="n"/>
      <c r="D2279" s="29" t="n"/>
      <c r="E2279" s="29" t="n"/>
      <c r="F2279" s="29" t="n"/>
      <c r="G2279" s="30" t="n"/>
      <c r="H2279" s="31">
        <f>IF(G2279="","",SUMIF(C$2:C2279,"Masuk",G$2:G2279)-SUMIF(C$2:C2279,"Keluar",G$2:G2279))</f>
        <v/>
      </c>
    </row>
    <row r="2280">
      <c r="A2280" s="22" t="n"/>
      <c r="B2280" s="23" t="n"/>
      <c r="C2280" s="24" t="n"/>
      <c r="D2280" s="17" t="n"/>
      <c r="E2280" s="17" t="n"/>
      <c r="F2280" s="17" t="n"/>
      <c r="G2280" s="15" t="n"/>
      <c r="H2280" s="25">
        <f>IF(G2280="","",SUMIF(C$2:C2280,"Masuk",G$2:G2280)-SUMIF(C$2:C2280,"Keluar",G$2:G2280))</f>
        <v/>
      </c>
    </row>
    <row r="2281">
      <c r="A2281" s="26" t="n"/>
      <c r="B2281" s="27" t="n"/>
      <c r="C2281" s="28" t="n"/>
      <c r="D2281" s="29" t="n"/>
      <c r="E2281" s="29" t="n"/>
      <c r="F2281" s="29" t="n"/>
      <c r="G2281" s="30" t="n"/>
      <c r="H2281" s="31">
        <f>IF(G2281="","",SUMIF(C$2:C2281,"Masuk",G$2:G2281)-SUMIF(C$2:C2281,"Keluar",G$2:G2281))</f>
        <v/>
      </c>
    </row>
    <row r="2282">
      <c r="A2282" s="22" t="n"/>
      <c r="B2282" s="23" t="n"/>
      <c r="C2282" s="24" t="n"/>
      <c r="D2282" s="17" t="n"/>
      <c r="E2282" s="17" t="n"/>
      <c r="F2282" s="17" t="n"/>
      <c r="G2282" s="15" t="n"/>
      <c r="H2282" s="25">
        <f>IF(G2282="","",SUMIF(C$2:C2282,"Masuk",G$2:G2282)-SUMIF(C$2:C2282,"Keluar",G$2:G2282))</f>
        <v/>
      </c>
    </row>
    <row r="2283">
      <c r="A2283" s="26" t="n"/>
      <c r="B2283" s="27" t="n"/>
      <c r="C2283" s="28" t="n"/>
      <c r="D2283" s="29" t="n"/>
      <c r="E2283" s="29" t="n"/>
      <c r="F2283" s="29" t="n"/>
      <c r="G2283" s="30" t="n"/>
      <c r="H2283" s="31">
        <f>IF(G2283="","",SUMIF(C$2:C2283,"Masuk",G$2:G2283)-SUMIF(C$2:C2283,"Keluar",G$2:G2283))</f>
        <v/>
      </c>
    </row>
    <row r="2284">
      <c r="A2284" s="22" t="n"/>
      <c r="B2284" s="23" t="n"/>
      <c r="C2284" s="24" t="n"/>
      <c r="D2284" s="17" t="n"/>
      <c r="E2284" s="17" t="n"/>
      <c r="F2284" s="17" t="n"/>
      <c r="G2284" s="15" t="n"/>
      <c r="H2284" s="25">
        <f>IF(G2284="","",SUMIF(C$2:C2284,"Masuk",G$2:G2284)-SUMIF(C$2:C2284,"Keluar",G$2:G2284))</f>
        <v/>
      </c>
    </row>
    <row r="2285">
      <c r="A2285" s="26" t="n"/>
      <c r="B2285" s="27" t="n"/>
      <c r="C2285" s="28" t="n"/>
      <c r="D2285" s="29" t="n"/>
      <c r="E2285" s="29" t="n"/>
      <c r="F2285" s="29" t="n"/>
      <c r="G2285" s="30" t="n"/>
      <c r="H2285" s="31">
        <f>IF(G2285="","",SUMIF(C$2:C2285,"Masuk",G$2:G2285)-SUMIF(C$2:C2285,"Keluar",G$2:G2285))</f>
        <v/>
      </c>
    </row>
    <row r="2286">
      <c r="A2286" s="22" t="n"/>
      <c r="B2286" s="23" t="n"/>
      <c r="C2286" s="24" t="n"/>
      <c r="D2286" s="17" t="n"/>
      <c r="E2286" s="17" t="n"/>
      <c r="F2286" s="17" t="n"/>
      <c r="G2286" s="15" t="n"/>
      <c r="H2286" s="25">
        <f>IF(G2286="","",SUMIF(C$2:C2286,"Masuk",G$2:G2286)-SUMIF(C$2:C2286,"Keluar",G$2:G2286))</f>
        <v/>
      </c>
    </row>
    <row r="2287">
      <c r="A2287" s="26" t="n"/>
      <c r="B2287" s="27" t="n"/>
      <c r="C2287" s="28" t="n"/>
      <c r="D2287" s="29" t="n"/>
      <c r="E2287" s="29" t="n"/>
      <c r="F2287" s="29" t="n"/>
      <c r="G2287" s="30" t="n"/>
      <c r="H2287" s="31">
        <f>IF(G2287="","",SUMIF(C$2:C2287,"Masuk",G$2:G2287)-SUMIF(C$2:C2287,"Keluar",G$2:G2287))</f>
        <v/>
      </c>
    </row>
    <row r="2288">
      <c r="A2288" s="22" t="n"/>
      <c r="B2288" s="23" t="n"/>
      <c r="C2288" s="24" t="n"/>
      <c r="D2288" s="17" t="n"/>
      <c r="E2288" s="17" t="n"/>
      <c r="F2288" s="17" t="n"/>
      <c r="G2288" s="15" t="n"/>
      <c r="H2288" s="25">
        <f>IF(G2288="","",SUMIF(C$2:C2288,"Masuk",G$2:G2288)-SUMIF(C$2:C2288,"Keluar",G$2:G2288))</f>
        <v/>
      </c>
    </row>
    <row r="2289">
      <c r="A2289" s="26" t="n"/>
      <c r="B2289" s="27" t="n"/>
      <c r="C2289" s="28" t="n"/>
      <c r="D2289" s="29" t="n"/>
      <c r="E2289" s="29" t="n"/>
      <c r="F2289" s="29" t="n"/>
      <c r="G2289" s="30" t="n"/>
      <c r="H2289" s="31">
        <f>IF(G2289="","",SUMIF(C$2:C2289,"Masuk",G$2:G2289)-SUMIF(C$2:C2289,"Keluar",G$2:G2289))</f>
        <v/>
      </c>
    </row>
    <row r="2290">
      <c r="A2290" s="22" t="n"/>
      <c r="B2290" s="23" t="n"/>
      <c r="C2290" s="24" t="n"/>
      <c r="D2290" s="17" t="n"/>
      <c r="E2290" s="17" t="n"/>
      <c r="F2290" s="17" t="n"/>
      <c r="G2290" s="15" t="n"/>
      <c r="H2290" s="25">
        <f>IF(G2290="","",SUMIF(C$2:C2290,"Masuk",G$2:G2290)-SUMIF(C$2:C2290,"Keluar",G$2:G2290))</f>
        <v/>
      </c>
    </row>
    <row r="2291">
      <c r="A2291" s="26" t="n"/>
      <c r="B2291" s="27" t="n"/>
      <c r="C2291" s="28" t="n"/>
      <c r="D2291" s="29" t="n"/>
      <c r="E2291" s="29" t="n"/>
      <c r="F2291" s="29" t="n"/>
      <c r="G2291" s="30" t="n"/>
      <c r="H2291" s="31">
        <f>IF(G2291="","",SUMIF(C$2:C2291,"Masuk",G$2:G2291)-SUMIF(C$2:C2291,"Keluar",G$2:G2291))</f>
        <v/>
      </c>
    </row>
    <row r="2292">
      <c r="A2292" s="22" t="n"/>
      <c r="B2292" s="23" t="n"/>
      <c r="C2292" s="24" t="n"/>
      <c r="D2292" s="17" t="n"/>
      <c r="E2292" s="17" t="n"/>
      <c r="F2292" s="17" t="n"/>
      <c r="G2292" s="15" t="n"/>
      <c r="H2292" s="25">
        <f>IF(G2292="","",SUMIF(C$2:C2292,"Masuk",G$2:G2292)-SUMIF(C$2:C2292,"Keluar",G$2:G2292))</f>
        <v/>
      </c>
    </row>
    <row r="2293">
      <c r="A2293" s="26" t="n"/>
      <c r="B2293" s="27" t="n"/>
      <c r="C2293" s="28" t="n"/>
      <c r="D2293" s="29" t="n"/>
      <c r="E2293" s="29" t="n"/>
      <c r="F2293" s="29" t="n"/>
      <c r="G2293" s="30" t="n"/>
      <c r="H2293" s="31">
        <f>IF(G2293="","",SUMIF(C$2:C2293,"Masuk",G$2:G2293)-SUMIF(C$2:C2293,"Keluar",G$2:G2293))</f>
        <v/>
      </c>
    </row>
    <row r="2294">
      <c r="A2294" s="22" t="n"/>
      <c r="B2294" s="23" t="n"/>
      <c r="C2294" s="24" t="n"/>
      <c r="D2294" s="17" t="n"/>
      <c r="E2294" s="17" t="n"/>
      <c r="F2294" s="17" t="n"/>
      <c r="G2294" s="15" t="n"/>
      <c r="H2294" s="25">
        <f>IF(G2294="","",SUMIF(C$2:C2294,"Masuk",G$2:G2294)-SUMIF(C$2:C2294,"Keluar",G$2:G2294))</f>
        <v/>
      </c>
    </row>
    <row r="2295">
      <c r="A2295" s="26" t="n"/>
      <c r="B2295" s="27" t="n"/>
      <c r="C2295" s="28" t="n"/>
      <c r="D2295" s="29" t="n"/>
      <c r="E2295" s="29" t="n"/>
      <c r="F2295" s="29" t="n"/>
      <c r="G2295" s="30" t="n"/>
      <c r="H2295" s="31">
        <f>IF(G2295="","",SUMIF(C$2:C2295,"Masuk",G$2:G2295)-SUMIF(C$2:C2295,"Keluar",G$2:G2295))</f>
        <v/>
      </c>
    </row>
    <row r="2296">
      <c r="A2296" s="22" t="n"/>
      <c r="B2296" s="23" t="n"/>
      <c r="C2296" s="24" t="n"/>
      <c r="D2296" s="17" t="n"/>
      <c r="E2296" s="17" t="n"/>
      <c r="F2296" s="17" t="n"/>
      <c r="G2296" s="15" t="n"/>
      <c r="H2296" s="25">
        <f>IF(G2296="","",SUMIF(C$2:C2296,"Masuk",G$2:G2296)-SUMIF(C$2:C2296,"Keluar",G$2:G2296))</f>
        <v/>
      </c>
    </row>
    <row r="2297">
      <c r="A2297" s="26" t="n"/>
      <c r="B2297" s="27" t="n"/>
      <c r="C2297" s="28" t="n"/>
      <c r="D2297" s="29" t="n"/>
      <c r="E2297" s="29" t="n"/>
      <c r="F2297" s="29" t="n"/>
      <c r="G2297" s="30" t="n"/>
      <c r="H2297" s="31">
        <f>IF(G2297="","",SUMIF(C$2:C2297,"Masuk",G$2:G2297)-SUMIF(C$2:C2297,"Keluar",G$2:G2297))</f>
        <v/>
      </c>
    </row>
    <row r="2298">
      <c r="A2298" s="22" t="n"/>
      <c r="B2298" s="23" t="n"/>
      <c r="C2298" s="24" t="n"/>
      <c r="D2298" s="17" t="n"/>
      <c r="E2298" s="17" t="n"/>
      <c r="F2298" s="17" t="n"/>
      <c r="G2298" s="15" t="n"/>
      <c r="H2298" s="25">
        <f>IF(G2298="","",SUMIF(C$2:C2298,"Masuk",G$2:G2298)-SUMIF(C$2:C2298,"Keluar",G$2:G2298))</f>
        <v/>
      </c>
    </row>
    <row r="2299">
      <c r="A2299" s="26" t="n"/>
      <c r="B2299" s="27" t="n"/>
      <c r="C2299" s="28" t="n"/>
      <c r="D2299" s="29" t="n"/>
      <c r="E2299" s="29" t="n"/>
      <c r="F2299" s="29" t="n"/>
      <c r="G2299" s="30" t="n"/>
      <c r="H2299" s="31">
        <f>IF(G2299="","",SUMIF(C$2:C2299,"Masuk",G$2:G2299)-SUMIF(C$2:C2299,"Keluar",G$2:G2299))</f>
        <v/>
      </c>
    </row>
    <row r="2300">
      <c r="A2300" s="22" t="n"/>
      <c r="B2300" s="23" t="n"/>
      <c r="C2300" s="24" t="n"/>
      <c r="D2300" s="17" t="n"/>
      <c r="E2300" s="17" t="n"/>
      <c r="F2300" s="17" t="n"/>
      <c r="G2300" s="15" t="n"/>
      <c r="H2300" s="25">
        <f>IF(G2300="","",SUMIF(C$2:C2300,"Masuk",G$2:G2300)-SUMIF(C$2:C2300,"Keluar",G$2:G2300))</f>
        <v/>
      </c>
    </row>
    <row r="2301">
      <c r="A2301" s="26" t="n"/>
      <c r="B2301" s="27" t="n"/>
      <c r="C2301" s="28" t="n"/>
      <c r="D2301" s="29" t="n"/>
      <c r="E2301" s="29" t="n"/>
      <c r="F2301" s="29" t="n"/>
      <c r="G2301" s="30" t="n"/>
      <c r="H2301" s="31">
        <f>IF(G2301="","",SUMIF(C$2:C2301,"Masuk",G$2:G2301)-SUMIF(C$2:C2301,"Keluar",G$2:G2301))</f>
        <v/>
      </c>
    </row>
    <row r="2302">
      <c r="A2302" s="22" t="n"/>
      <c r="B2302" s="23" t="n"/>
      <c r="C2302" s="24" t="n"/>
      <c r="D2302" s="17" t="n"/>
      <c r="E2302" s="17" t="n"/>
      <c r="F2302" s="17" t="n"/>
      <c r="G2302" s="15" t="n"/>
      <c r="H2302" s="25">
        <f>IF(G2302="","",SUMIF(C$2:C2302,"Masuk",G$2:G2302)-SUMIF(C$2:C2302,"Keluar",G$2:G2302))</f>
        <v/>
      </c>
    </row>
    <row r="2303">
      <c r="A2303" s="26" t="n"/>
      <c r="B2303" s="27" t="n"/>
      <c r="C2303" s="28" t="n"/>
      <c r="D2303" s="29" t="n"/>
      <c r="E2303" s="29" t="n"/>
      <c r="F2303" s="29" t="n"/>
      <c r="G2303" s="30" t="n"/>
      <c r="H2303" s="31">
        <f>IF(G2303="","",SUMIF(C$2:C2303,"Masuk",G$2:G2303)-SUMIF(C$2:C2303,"Keluar",G$2:G2303))</f>
        <v/>
      </c>
    </row>
    <row r="2304">
      <c r="A2304" s="22" t="n"/>
      <c r="B2304" s="23" t="n"/>
      <c r="C2304" s="24" t="n"/>
      <c r="D2304" s="17" t="n"/>
      <c r="E2304" s="17" t="n"/>
      <c r="F2304" s="17" t="n"/>
      <c r="G2304" s="15" t="n"/>
      <c r="H2304" s="25">
        <f>IF(G2304="","",SUMIF(C$2:C2304,"Masuk",G$2:G2304)-SUMIF(C$2:C2304,"Keluar",G$2:G2304))</f>
        <v/>
      </c>
    </row>
    <row r="2305">
      <c r="A2305" s="26" t="n"/>
      <c r="B2305" s="27" t="n"/>
      <c r="C2305" s="28" t="n"/>
      <c r="D2305" s="29" t="n"/>
      <c r="E2305" s="29" t="n"/>
      <c r="F2305" s="29" t="n"/>
      <c r="G2305" s="30" t="n"/>
      <c r="H2305" s="31">
        <f>IF(G2305="","",SUMIF(C$2:C2305,"Masuk",G$2:G2305)-SUMIF(C$2:C2305,"Keluar",G$2:G2305))</f>
        <v/>
      </c>
    </row>
    <row r="2306">
      <c r="A2306" s="22" t="n"/>
      <c r="B2306" s="23" t="n"/>
      <c r="C2306" s="24" t="n"/>
      <c r="D2306" s="17" t="n"/>
      <c r="E2306" s="17" t="n"/>
      <c r="F2306" s="17" t="n"/>
      <c r="G2306" s="15" t="n"/>
      <c r="H2306" s="25">
        <f>IF(G2306="","",SUMIF(C$2:C2306,"Masuk",G$2:G2306)-SUMIF(C$2:C2306,"Keluar",G$2:G2306))</f>
        <v/>
      </c>
    </row>
    <row r="2307">
      <c r="A2307" s="26" t="n"/>
      <c r="B2307" s="27" t="n"/>
      <c r="C2307" s="28" t="n"/>
      <c r="D2307" s="29" t="n"/>
      <c r="E2307" s="29" t="n"/>
      <c r="F2307" s="29" t="n"/>
      <c r="G2307" s="30" t="n"/>
      <c r="H2307" s="31">
        <f>IF(G2307="","",SUMIF(C$2:C2307,"Masuk",G$2:G2307)-SUMIF(C$2:C2307,"Keluar",G$2:G2307))</f>
        <v/>
      </c>
    </row>
    <row r="2308">
      <c r="A2308" s="22" t="n"/>
      <c r="B2308" s="23" t="n"/>
      <c r="C2308" s="24" t="n"/>
      <c r="D2308" s="17" t="n"/>
      <c r="E2308" s="17" t="n"/>
      <c r="F2308" s="17" t="n"/>
      <c r="G2308" s="15" t="n"/>
      <c r="H2308" s="25">
        <f>IF(G2308="","",SUMIF(C$2:C2308,"Masuk",G$2:G2308)-SUMIF(C$2:C2308,"Keluar",G$2:G2308))</f>
        <v/>
      </c>
    </row>
    <row r="2309">
      <c r="A2309" s="26" t="n"/>
      <c r="B2309" s="27" t="n"/>
      <c r="C2309" s="28" t="n"/>
      <c r="D2309" s="29" t="n"/>
      <c r="E2309" s="29" t="n"/>
      <c r="F2309" s="29" t="n"/>
      <c r="G2309" s="30" t="n"/>
      <c r="H2309" s="31">
        <f>IF(G2309="","",SUMIF(C$2:C2309,"Masuk",G$2:G2309)-SUMIF(C$2:C2309,"Keluar",G$2:G2309))</f>
        <v/>
      </c>
    </row>
    <row r="2310">
      <c r="A2310" s="22" t="n"/>
      <c r="B2310" s="23" t="n"/>
      <c r="C2310" s="24" t="n"/>
      <c r="D2310" s="17" t="n"/>
      <c r="E2310" s="17" t="n"/>
      <c r="F2310" s="17" t="n"/>
      <c r="G2310" s="15" t="n"/>
      <c r="H2310" s="25">
        <f>IF(G2310="","",SUMIF(C$2:C2310,"Masuk",G$2:G2310)-SUMIF(C$2:C2310,"Keluar",G$2:G2310))</f>
        <v/>
      </c>
    </row>
    <row r="2311">
      <c r="A2311" s="26" t="n"/>
      <c r="B2311" s="27" t="n"/>
      <c r="C2311" s="28" t="n"/>
      <c r="D2311" s="29" t="n"/>
      <c r="E2311" s="29" t="n"/>
      <c r="F2311" s="29" t="n"/>
      <c r="G2311" s="30" t="n"/>
      <c r="H2311" s="31">
        <f>IF(G2311="","",SUMIF(C$2:C2311,"Masuk",G$2:G2311)-SUMIF(C$2:C2311,"Keluar",G$2:G2311))</f>
        <v/>
      </c>
    </row>
    <row r="2312">
      <c r="A2312" s="22" t="n"/>
      <c r="B2312" s="23" t="n"/>
      <c r="C2312" s="24" t="n"/>
      <c r="D2312" s="17" t="n"/>
      <c r="E2312" s="17" t="n"/>
      <c r="F2312" s="17" t="n"/>
      <c r="G2312" s="15" t="n"/>
      <c r="H2312" s="25">
        <f>IF(G2312="","",SUMIF(C$2:C2312,"Masuk",G$2:G2312)-SUMIF(C$2:C2312,"Keluar",G$2:G2312))</f>
        <v/>
      </c>
    </row>
    <row r="2313">
      <c r="A2313" s="26" t="n"/>
      <c r="B2313" s="27" t="n"/>
      <c r="C2313" s="28" t="n"/>
      <c r="D2313" s="29" t="n"/>
      <c r="E2313" s="29" t="n"/>
      <c r="F2313" s="29" t="n"/>
      <c r="G2313" s="30" t="n"/>
      <c r="H2313" s="31">
        <f>IF(G2313="","",SUMIF(C$2:C2313,"Masuk",G$2:G2313)-SUMIF(C$2:C2313,"Keluar",G$2:G2313))</f>
        <v/>
      </c>
    </row>
    <row r="2314">
      <c r="A2314" s="22" t="n"/>
      <c r="B2314" s="23" t="n"/>
      <c r="C2314" s="24" t="n"/>
      <c r="D2314" s="17" t="n"/>
      <c r="E2314" s="17" t="n"/>
      <c r="F2314" s="17" t="n"/>
      <c r="G2314" s="15" t="n"/>
      <c r="H2314" s="25">
        <f>IF(G2314="","",SUMIF(C$2:C2314,"Masuk",G$2:G2314)-SUMIF(C$2:C2314,"Keluar",G$2:G2314))</f>
        <v/>
      </c>
    </row>
    <row r="2315">
      <c r="A2315" s="26" t="n"/>
      <c r="B2315" s="27" t="n"/>
      <c r="C2315" s="28" t="n"/>
      <c r="D2315" s="29" t="n"/>
      <c r="E2315" s="29" t="n"/>
      <c r="F2315" s="29" t="n"/>
      <c r="G2315" s="30" t="n"/>
      <c r="H2315" s="31">
        <f>IF(G2315="","",SUMIF(C$2:C2315,"Masuk",G$2:G2315)-SUMIF(C$2:C2315,"Keluar",G$2:G2315))</f>
        <v/>
      </c>
    </row>
    <row r="2316">
      <c r="A2316" s="22" t="n"/>
      <c r="B2316" s="23" t="n"/>
      <c r="C2316" s="24" t="n"/>
      <c r="D2316" s="17" t="n"/>
      <c r="E2316" s="17" t="n"/>
      <c r="F2316" s="17" t="n"/>
      <c r="G2316" s="15" t="n"/>
      <c r="H2316" s="25">
        <f>IF(G2316="","",SUMIF(C$2:C2316,"Masuk",G$2:G2316)-SUMIF(C$2:C2316,"Keluar",G$2:G2316))</f>
        <v/>
      </c>
    </row>
    <row r="2317">
      <c r="A2317" s="26" t="n"/>
      <c r="B2317" s="27" t="n"/>
      <c r="C2317" s="28" t="n"/>
      <c r="D2317" s="29" t="n"/>
      <c r="E2317" s="29" t="n"/>
      <c r="F2317" s="29" t="n"/>
      <c r="G2317" s="30" t="n"/>
      <c r="H2317" s="31">
        <f>IF(G2317="","",SUMIF(C$2:C2317,"Masuk",G$2:G2317)-SUMIF(C$2:C2317,"Keluar",G$2:G2317))</f>
        <v/>
      </c>
    </row>
    <row r="2318">
      <c r="A2318" s="22" t="n"/>
      <c r="B2318" s="23" t="n"/>
      <c r="C2318" s="24" t="n"/>
      <c r="D2318" s="17" t="n"/>
      <c r="E2318" s="17" t="n"/>
      <c r="F2318" s="17" t="n"/>
      <c r="G2318" s="15" t="n"/>
      <c r="H2318" s="25">
        <f>IF(G2318="","",SUMIF(C$2:C2318,"Masuk",G$2:G2318)-SUMIF(C$2:C2318,"Keluar",G$2:G2318))</f>
        <v/>
      </c>
    </row>
    <row r="2319">
      <c r="A2319" s="26" t="n"/>
      <c r="B2319" s="27" t="n"/>
      <c r="C2319" s="28" t="n"/>
      <c r="D2319" s="29" t="n"/>
      <c r="E2319" s="29" t="n"/>
      <c r="F2319" s="29" t="n"/>
      <c r="G2319" s="30" t="n"/>
      <c r="H2319" s="31">
        <f>IF(G2319="","",SUMIF(C$2:C2319,"Masuk",G$2:G2319)-SUMIF(C$2:C2319,"Keluar",G$2:G2319))</f>
        <v/>
      </c>
    </row>
    <row r="2320">
      <c r="A2320" s="22" t="n"/>
      <c r="B2320" s="23" t="n"/>
      <c r="C2320" s="24" t="n"/>
      <c r="D2320" s="17" t="n"/>
      <c r="E2320" s="17" t="n"/>
      <c r="F2320" s="17" t="n"/>
      <c r="G2320" s="15" t="n"/>
      <c r="H2320" s="25">
        <f>IF(G2320="","",SUMIF(C$2:C2320,"Masuk",G$2:G2320)-SUMIF(C$2:C2320,"Keluar",G$2:G2320))</f>
        <v/>
      </c>
    </row>
    <row r="2321">
      <c r="A2321" s="26" t="n"/>
      <c r="B2321" s="27" t="n"/>
      <c r="C2321" s="28" t="n"/>
      <c r="D2321" s="29" t="n"/>
      <c r="E2321" s="29" t="n"/>
      <c r="F2321" s="29" t="n"/>
      <c r="G2321" s="30" t="n"/>
      <c r="H2321" s="31">
        <f>IF(G2321="","",SUMIF(C$2:C2321,"Masuk",G$2:G2321)-SUMIF(C$2:C2321,"Keluar",G$2:G2321))</f>
        <v/>
      </c>
    </row>
    <row r="2322">
      <c r="A2322" s="22" t="n"/>
      <c r="B2322" s="23" t="n"/>
      <c r="C2322" s="24" t="n"/>
      <c r="D2322" s="17" t="n"/>
      <c r="E2322" s="17" t="n"/>
      <c r="F2322" s="17" t="n"/>
      <c r="G2322" s="15" t="n"/>
      <c r="H2322" s="25">
        <f>IF(G2322="","",SUMIF(C$2:C2322,"Masuk",G$2:G2322)-SUMIF(C$2:C2322,"Keluar",G$2:G2322))</f>
        <v/>
      </c>
    </row>
    <row r="2323">
      <c r="A2323" s="26" t="n"/>
      <c r="B2323" s="27" t="n"/>
      <c r="C2323" s="28" t="n"/>
      <c r="D2323" s="29" t="n"/>
      <c r="E2323" s="29" t="n"/>
      <c r="F2323" s="29" t="n"/>
      <c r="G2323" s="30" t="n"/>
      <c r="H2323" s="31">
        <f>IF(G2323="","",SUMIF(C$2:C2323,"Masuk",G$2:G2323)-SUMIF(C$2:C2323,"Keluar",G$2:G2323))</f>
        <v/>
      </c>
    </row>
    <row r="2324">
      <c r="A2324" s="22" t="n"/>
      <c r="B2324" s="23" t="n"/>
      <c r="C2324" s="24" t="n"/>
      <c r="D2324" s="17" t="n"/>
      <c r="E2324" s="17" t="n"/>
      <c r="F2324" s="17" t="n"/>
      <c r="G2324" s="15" t="n"/>
      <c r="H2324" s="25">
        <f>IF(G2324="","",SUMIF(C$2:C2324,"Masuk",G$2:G2324)-SUMIF(C$2:C2324,"Keluar",G$2:G2324))</f>
        <v/>
      </c>
    </row>
    <row r="2325">
      <c r="A2325" s="26" t="n"/>
      <c r="B2325" s="27" t="n"/>
      <c r="C2325" s="28" t="n"/>
      <c r="D2325" s="29" t="n"/>
      <c r="E2325" s="29" t="n"/>
      <c r="F2325" s="29" t="n"/>
      <c r="G2325" s="30" t="n"/>
      <c r="H2325" s="31">
        <f>IF(G2325="","",SUMIF(C$2:C2325,"Masuk",G$2:G2325)-SUMIF(C$2:C2325,"Keluar",G$2:G2325))</f>
        <v/>
      </c>
    </row>
    <row r="2326">
      <c r="A2326" s="22" t="n"/>
      <c r="B2326" s="23" t="n"/>
      <c r="C2326" s="24" t="n"/>
      <c r="D2326" s="17" t="n"/>
      <c r="E2326" s="17" t="n"/>
      <c r="F2326" s="17" t="n"/>
      <c r="G2326" s="15" t="n"/>
      <c r="H2326" s="25">
        <f>IF(G2326="","",SUMIF(C$2:C2326,"Masuk",G$2:G2326)-SUMIF(C$2:C2326,"Keluar",G$2:G2326))</f>
        <v/>
      </c>
    </row>
    <row r="2327">
      <c r="A2327" s="26" t="n"/>
      <c r="B2327" s="27" t="n"/>
      <c r="C2327" s="28" t="n"/>
      <c r="D2327" s="29" t="n"/>
      <c r="E2327" s="29" t="n"/>
      <c r="F2327" s="29" t="n"/>
      <c r="G2327" s="30" t="n"/>
      <c r="H2327" s="31">
        <f>IF(G2327="","",SUMIF(C$2:C2327,"Masuk",G$2:G2327)-SUMIF(C$2:C2327,"Keluar",G$2:G2327))</f>
        <v/>
      </c>
    </row>
    <row r="2328">
      <c r="A2328" s="22" t="n"/>
      <c r="B2328" s="23" t="n"/>
      <c r="C2328" s="24" t="n"/>
      <c r="D2328" s="17" t="n"/>
      <c r="E2328" s="17" t="n"/>
      <c r="F2328" s="17" t="n"/>
      <c r="G2328" s="15" t="n"/>
      <c r="H2328" s="25">
        <f>IF(G2328="","",SUMIF(C$2:C2328,"Masuk",G$2:G2328)-SUMIF(C$2:C2328,"Keluar",G$2:G2328))</f>
        <v/>
      </c>
    </row>
    <row r="2329">
      <c r="A2329" s="26" t="n"/>
      <c r="B2329" s="27" t="n"/>
      <c r="C2329" s="28" t="n"/>
      <c r="D2329" s="29" t="n"/>
      <c r="E2329" s="29" t="n"/>
      <c r="F2329" s="29" t="n"/>
      <c r="G2329" s="30" t="n"/>
      <c r="H2329" s="31">
        <f>IF(G2329="","",SUMIF(C$2:C2329,"Masuk",G$2:G2329)-SUMIF(C$2:C2329,"Keluar",G$2:G2329))</f>
        <v/>
      </c>
    </row>
    <row r="2330">
      <c r="A2330" s="22" t="n"/>
      <c r="B2330" s="23" t="n"/>
      <c r="C2330" s="24" t="n"/>
      <c r="D2330" s="17" t="n"/>
      <c r="E2330" s="17" t="n"/>
      <c r="F2330" s="17" t="n"/>
      <c r="G2330" s="15" t="n"/>
      <c r="H2330" s="25">
        <f>IF(G2330="","",SUMIF(C$2:C2330,"Masuk",G$2:G2330)-SUMIF(C$2:C2330,"Keluar",G$2:G2330))</f>
        <v/>
      </c>
    </row>
    <row r="2331">
      <c r="A2331" s="26" t="n"/>
      <c r="B2331" s="27" t="n"/>
      <c r="C2331" s="28" t="n"/>
      <c r="D2331" s="29" t="n"/>
      <c r="E2331" s="29" t="n"/>
      <c r="F2331" s="29" t="n"/>
      <c r="G2331" s="30" t="n"/>
      <c r="H2331" s="31">
        <f>IF(G2331="","",SUMIF(C$2:C2331,"Masuk",G$2:G2331)-SUMIF(C$2:C2331,"Keluar",G$2:G2331))</f>
        <v/>
      </c>
    </row>
    <row r="2332">
      <c r="A2332" s="22" t="n"/>
      <c r="B2332" s="23" t="n"/>
      <c r="C2332" s="24" t="n"/>
      <c r="D2332" s="17" t="n"/>
      <c r="E2332" s="17" t="n"/>
      <c r="F2332" s="17" t="n"/>
      <c r="G2332" s="15" t="n"/>
      <c r="H2332" s="25">
        <f>IF(G2332="","",SUMIF(C$2:C2332,"Masuk",G$2:G2332)-SUMIF(C$2:C2332,"Keluar",G$2:G2332))</f>
        <v/>
      </c>
    </row>
    <row r="2333">
      <c r="A2333" s="26" t="n"/>
      <c r="B2333" s="27" t="n"/>
      <c r="C2333" s="28" t="n"/>
      <c r="D2333" s="29" t="n"/>
      <c r="E2333" s="29" t="n"/>
      <c r="F2333" s="29" t="n"/>
      <c r="G2333" s="30" t="n"/>
      <c r="H2333" s="31">
        <f>IF(G2333="","",SUMIF(C$2:C2333,"Masuk",G$2:G2333)-SUMIF(C$2:C2333,"Keluar",G$2:G2333))</f>
        <v/>
      </c>
    </row>
    <row r="2334">
      <c r="A2334" s="22" t="n"/>
      <c r="B2334" s="23" t="n"/>
      <c r="C2334" s="24" t="n"/>
      <c r="D2334" s="17" t="n"/>
      <c r="E2334" s="17" t="n"/>
      <c r="F2334" s="17" t="n"/>
      <c r="G2334" s="15" t="n"/>
      <c r="H2334" s="25">
        <f>IF(G2334="","",SUMIF(C$2:C2334,"Masuk",G$2:G2334)-SUMIF(C$2:C2334,"Keluar",G$2:G2334))</f>
        <v/>
      </c>
    </row>
    <row r="2335">
      <c r="A2335" s="26" t="n"/>
      <c r="B2335" s="27" t="n"/>
      <c r="C2335" s="28" t="n"/>
      <c r="D2335" s="29" t="n"/>
      <c r="E2335" s="29" t="n"/>
      <c r="F2335" s="29" t="n"/>
      <c r="G2335" s="30" t="n"/>
      <c r="H2335" s="31">
        <f>IF(G2335="","",SUMIF(C$2:C2335,"Masuk",G$2:G2335)-SUMIF(C$2:C2335,"Keluar",G$2:G2335))</f>
        <v/>
      </c>
    </row>
    <row r="2336">
      <c r="A2336" s="22" t="n"/>
      <c r="B2336" s="23" t="n"/>
      <c r="C2336" s="24" t="n"/>
      <c r="D2336" s="17" t="n"/>
      <c r="E2336" s="17" t="n"/>
      <c r="F2336" s="17" t="n"/>
      <c r="G2336" s="15" t="n"/>
      <c r="H2336" s="25">
        <f>IF(G2336="","",SUMIF(C$2:C2336,"Masuk",G$2:G2336)-SUMIF(C$2:C2336,"Keluar",G$2:G2336))</f>
        <v/>
      </c>
    </row>
    <row r="2337">
      <c r="A2337" s="26" t="n"/>
      <c r="B2337" s="27" t="n"/>
      <c r="C2337" s="28" t="n"/>
      <c r="D2337" s="29" t="n"/>
      <c r="E2337" s="29" t="n"/>
      <c r="F2337" s="29" t="n"/>
      <c r="G2337" s="30" t="n"/>
      <c r="H2337" s="31">
        <f>IF(G2337="","",SUMIF(C$2:C2337,"Masuk",G$2:G2337)-SUMIF(C$2:C2337,"Keluar",G$2:G2337))</f>
        <v/>
      </c>
    </row>
    <row r="2338">
      <c r="A2338" s="22" t="n"/>
      <c r="B2338" s="23" t="n"/>
      <c r="C2338" s="24" t="n"/>
      <c r="D2338" s="17" t="n"/>
      <c r="E2338" s="17" t="n"/>
      <c r="F2338" s="17" t="n"/>
      <c r="G2338" s="15" t="n"/>
      <c r="H2338" s="25">
        <f>IF(G2338="","",SUMIF(C$2:C2338,"Masuk",G$2:G2338)-SUMIF(C$2:C2338,"Keluar",G$2:G2338))</f>
        <v/>
      </c>
    </row>
    <row r="2339">
      <c r="A2339" s="26" t="n"/>
      <c r="B2339" s="27" t="n"/>
      <c r="C2339" s="28" t="n"/>
      <c r="D2339" s="29" t="n"/>
      <c r="E2339" s="29" t="n"/>
      <c r="F2339" s="29" t="n"/>
      <c r="G2339" s="30" t="n"/>
      <c r="H2339" s="31">
        <f>IF(G2339="","",SUMIF(C$2:C2339,"Masuk",G$2:G2339)-SUMIF(C$2:C2339,"Keluar",G$2:G2339))</f>
        <v/>
      </c>
    </row>
    <row r="2340">
      <c r="A2340" s="22" t="n"/>
      <c r="B2340" s="23" t="n"/>
      <c r="C2340" s="24" t="n"/>
      <c r="D2340" s="17" t="n"/>
      <c r="E2340" s="17" t="n"/>
      <c r="F2340" s="17" t="n"/>
      <c r="G2340" s="15" t="n"/>
      <c r="H2340" s="25">
        <f>IF(G2340="","",SUMIF(C$2:C2340,"Masuk",G$2:G2340)-SUMIF(C$2:C2340,"Keluar",G$2:G2340))</f>
        <v/>
      </c>
    </row>
    <row r="2341">
      <c r="A2341" s="26" t="n"/>
      <c r="B2341" s="27" t="n"/>
      <c r="C2341" s="28" t="n"/>
      <c r="D2341" s="29" t="n"/>
      <c r="E2341" s="29" t="n"/>
      <c r="F2341" s="29" t="n"/>
      <c r="G2341" s="30" t="n"/>
      <c r="H2341" s="31">
        <f>IF(G2341="","",SUMIF(C$2:C2341,"Masuk",G$2:G2341)-SUMIF(C$2:C2341,"Keluar",G$2:G2341))</f>
        <v/>
      </c>
    </row>
    <row r="2342">
      <c r="A2342" s="22" t="n"/>
      <c r="B2342" s="23" t="n"/>
      <c r="C2342" s="24" t="n"/>
      <c r="D2342" s="17" t="n"/>
      <c r="E2342" s="17" t="n"/>
      <c r="F2342" s="17" t="n"/>
      <c r="G2342" s="15" t="n"/>
      <c r="H2342" s="25">
        <f>IF(G2342="","",SUMIF(C$2:C2342,"Masuk",G$2:G2342)-SUMIF(C$2:C2342,"Keluar",G$2:G2342))</f>
        <v/>
      </c>
    </row>
    <row r="2343">
      <c r="A2343" s="26" t="n"/>
      <c r="B2343" s="27" t="n"/>
      <c r="C2343" s="28" t="n"/>
      <c r="D2343" s="29" t="n"/>
      <c r="E2343" s="29" t="n"/>
      <c r="F2343" s="29" t="n"/>
      <c r="G2343" s="30" t="n"/>
      <c r="H2343" s="31">
        <f>IF(G2343="","",SUMIF(C$2:C2343,"Masuk",G$2:G2343)-SUMIF(C$2:C2343,"Keluar",G$2:G2343))</f>
        <v/>
      </c>
    </row>
    <row r="2344">
      <c r="A2344" s="22" t="n"/>
      <c r="B2344" s="23" t="n"/>
      <c r="C2344" s="24" t="n"/>
      <c r="D2344" s="17" t="n"/>
      <c r="E2344" s="17" t="n"/>
      <c r="F2344" s="17" t="n"/>
      <c r="G2344" s="15" t="n"/>
      <c r="H2344" s="25">
        <f>IF(G2344="","",SUMIF(C$2:C2344,"Masuk",G$2:G2344)-SUMIF(C$2:C2344,"Keluar",G$2:G2344))</f>
        <v/>
      </c>
    </row>
    <row r="2345">
      <c r="A2345" s="26" t="n"/>
      <c r="B2345" s="27" t="n"/>
      <c r="C2345" s="28" t="n"/>
      <c r="D2345" s="29" t="n"/>
      <c r="E2345" s="29" t="n"/>
      <c r="F2345" s="29" t="n"/>
      <c r="G2345" s="30" t="n"/>
      <c r="H2345" s="31">
        <f>IF(G2345="","",SUMIF(C$2:C2345,"Masuk",G$2:G2345)-SUMIF(C$2:C2345,"Keluar",G$2:G2345))</f>
        <v/>
      </c>
    </row>
    <row r="2346">
      <c r="A2346" s="22" t="n"/>
      <c r="B2346" s="23" t="n"/>
      <c r="C2346" s="24" t="n"/>
      <c r="D2346" s="17" t="n"/>
      <c r="E2346" s="17" t="n"/>
      <c r="F2346" s="17" t="n"/>
      <c r="G2346" s="15" t="n"/>
      <c r="H2346" s="25">
        <f>IF(G2346="","",SUMIF(C$2:C2346,"Masuk",G$2:G2346)-SUMIF(C$2:C2346,"Keluar",G$2:G2346))</f>
        <v/>
      </c>
    </row>
    <row r="2347">
      <c r="A2347" s="26" t="n"/>
      <c r="B2347" s="27" t="n"/>
      <c r="C2347" s="28" t="n"/>
      <c r="D2347" s="29" t="n"/>
      <c r="E2347" s="29" t="n"/>
      <c r="F2347" s="29" t="n"/>
      <c r="G2347" s="30" t="n"/>
      <c r="H2347" s="31">
        <f>IF(G2347="","",SUMIF(C$2:C2347,"Masuk",G$2:G2347)-SUMIF(C$2:C2347,"Keluar",G$2:G2347))</f>
        <v/>
      </c>
    </row>
    <row r="2348">
      <c r="A2348" s="22" t="n"/>
      <c r="B2348" s="23" t="n"/>
      <c r="C2348" s="24" t="n"/>
      <c r="D2348" s="17" t="n"/>
      <c r="E2348" s="17" t="n"/>
      <c r="F2348" s="17" t="n"/>
      <c r="G2348" s="15" t="n"/>
      <c r="H2348" s="25">
        <f>IF(G2348="","",SUMIF(C$2:C2348,"Masuk",G$2:G2348)-SUMIF(C$2:C2348,"Keluar",G$2:G2348))</f>
        <v/>
      </c>
    </row>
    <row r="2349">
      <c r="A2349" s="26" t="n"/>
      <c r="B2349" s="27" t="n"/>
      <c r="C2349" s="28" t="n"/>
      <c r="D2349" s="29" t="n"/>
      <c r="E2349" s="29" t="n"/>
      <c r="F2349" s="29" t="n"/>
      <c r="G2349" s="30" t="n"/>
      <c r="H2349" s="31">
        <f>IF(G2349="","",SUMIF(C$2:C2349,"Masuk",G$2:G2349)-SUMIF(C$2:C2349,"Keluar",G$2:G2349))</f>
        <v/>
      </c>
    </row>
    <row r="2350">
      <c r="A2350" s="22" t="n"/>
      <c r="B2350" s="23" t="n"/>
      <c r="C2350" s="24" t="n"/>
      <c r="D2350" s="17" t="n"/>
      <c r="E2350" s="17" t="n"/>
      <c r="F2350" s="17" t="n"/>
      <c r="G2350" s="15" t="n"/>
      <c r="H2350" s="25">
        <f>IF(G2350="","",SUMIF(C$2:C2350,"Masuk",G$2:G2350)-SUMIF(C$2:C2350,"Keluar",G$2:G2350))</f>
        <v/>
      </c>
    </row>
    <row r="2351">
      <c r="A2351" s="26" t="n"/>
      <c r="B2351" s="27" t="n"/>
      <c r="C2351" s="28" t="n"/>
      <c r="D2351" s="29" t="n"/>
      <c r="E2351" s="29" t="n"/>
      <c r="F2351" s="29" t="n"/>
      <c r="G2351" s="30" t="n"/>
      <c r="H2351" s="31">
        <f>IF(G2351="","",SUMIF(C$2:C2351,"Masuk",G$2:G2351)-SUMIF(C$2:C2351,"Keluar",G$2:G2351))</f>
        <v/>
      </c>
    </row>
    <row r="2352">
      <c r="A2352" s="22" t="n"/>
      <c r="B2352" s="23" t="n"/>
      <c r="C2352" s="24" t="n"/>
      <c r="D2352" s="17" t="n"/>
      <c r="E2352" s="17" t="n"/>
      <c r="F2352" s="17" t="n"/>
      <c r="G2352" s="15" t="n"/>
      <c r="H2352" s="25">
        <f>IF(G2352="","",SUMIF(C$2:C2352,"Masuk",G$2:G2352)-SUMIF(C$2:C2352,"Keluar",G$2:G2352))</f>
        <v/>
      </c>
    </row>
    <row r="2353">
      <c r="A2353" s="26" t="n"/>
      <c r="B2353" s="27" t="n"/>
      <c r="C2353" s="28" t="n"/>
      <c r="D2353" s="29" t="n"/>
      <c r="E2353" s="29" t="n"/>
      <c r="F2353" s="29" t="n"/>
      <c r="G2353" s="30" t="n"/>
      <c r="H2353" s="31">
        <f>IF(G2353="","",SUMIF(C$2:C2353,"Masuk",G$2:G2353)-SUMIF(C$2:C2353,"Keluar",G$2:G2353))</f>
        <v/>
      </c>
    </row>
    <row r="2354">
      <c r="A2354" s="22" t="n"/>
      <c r="B2354" s="23" t="n"/>
      <c r="C2354" s="24" t="n"/>
      <c r="D2354" s="17" t="n"/>
      <c r="E2354" s="17" t="n"/>
      <c r="F2354" s="17" t="n"/>
      <c r="G2354" s="15" t="n"/>
      <c r="H2354" s="25">
        <f>IF(G2354="","",SUMIF(C$2:C2354,"Masuk",G$2:G2354)-SUMIF(C$2:C2354,"Keluar",G$2:G2354))</f>
        <v/>
      </c>
    </row>
    <row r="2355">
      <c r="A2355" s="26" t="n"/>
      <c r="B2355" s="27" t="n"/>
      <c r="C2355" s="28" t="n"/>
      <c r="D2355" s="29" t="n"/>
      <c r="E2355" s="29" t="n"/>
      <c r="F2355" s="29" t="n"/>
      <c r="G2355" s="30" t="n"/>
      <c r="H2355" s="31">
        <f>IF(G2355="","",SUMIF(C$2:C2355,"Masuk",G$2:G2355)-SUMIF(C$2:C2355,"Keluar",G$2:G2355))</f>
        <v/>
      </c>
    </row>
    <row r="2356">
      <c r="A2356" s="22" t="n"/>
      <c r="B2356" s="23" t="n"/>
      <c r="C2356" s="24" t="n"/>
      <c r="D2356" s="17" t="n"/>
      <c r="E2356" s="17" t="n"/>
      <c r="F2356" s="17" t="n"/>
      <c r="G2356" s="15" t="n"/>
      <c r="H2356" s="25">
        <f>IF(G2356="","",SUMIF(C$2:C2356,"Masuk",G$2:G2356)-SUMIF(C$2:C2356,"Keluar",G$2:G2356))</f>
        <v/>
      </c>
    </row>
    <row r="2357">
      <c r="A2357" s="26" t="n"/>
      <c r="B2357" s="27" t="n"/>
      <c r="C2357" s="28" t="n"/>
      <c r="D2357" s="29" t="n"/>
      <c r="E2357" s="29" t="n"/>
      <c r="F2357" s="29" t="n"/>
      <c r="G2357" s="30" t="n"/>
      <c r="H2357" s="31">
        <f>IF(G2357="","",SUMIF(C$2:C2357,"Masuk",G$2:G2357)-SUMIF(C$2:C2357,"Keluar",G$2:G2357))</f>
        <v/>
      </c>
    </row>
    <row r="2358">
      <c r="A2358" s="22" t="n"/>
      <c r="B2358" s="23" t="n"/>
      <c r="C2358" s="24" t="n"/>
      <c r="D2358" s="17" t="n"/>
      <c r="E2358" s="17" t="n"/>
      <c r="F2358" s="17" t="n"/>
      <c r="G2358" s="15" t="n"/>
      <c r="H2358" s="25">
        <f>IF(G2358="","",SUMIF(C$2:C2358,"Masuk",G$2:G2358)-SUMIF(C$2:C2358,"Keluar",G$2:G2358))</f>
        <v/>
      </c>
    </row>
    <row r="2359">
      <c r="A2359" s="26" t="n"/>
      <c r="B2359" s="27" t="n"/>
      <c r="C2359" s="28" t="n"/>
      <c r="D2359" s="29" t="n"/>
      <c r="E2359" s="29" t="n"/>
      <c r="F2359" s="29" t="n"/>
      <c r="G2359" s="30" t="n"/>
      <c r="H2359" s="31">
        <f>IF(G2359="","",SUMIF(C$2:C2359,"Masuk",G$2:G2359)-SUMIF(C$2:C2359,"Keluar",G$2:G2359))</f>
        <v/>
      </c>
    </row>
    <row r="2360">
      <c r="A2360" s="22" t="n"/>
      <c r="B2360" s="23" t="n"/>
      <c r="C2360" s="24" t="n"/>
      <c r="D2360" s="17" t="n"/>
      <c r="E2360" s="17" t="n"/>
      <c r="F2360" s="17" t="n"/>
      <c r="G2360" s="15" t="n"/>
      <c r="H2360" s="25">
        <f>IF(G2360="","",SUMIF(C$2:C2360,"Masuk",G$2:G2360)-SUMIF(C$2:C2360,"Keluar",G$2:G2360))</f>
        <v/>
      </c>
    </row>
    <row r="2361">
      <c r="A2361" s="26" t="n"/>
      <c r="B2361" s="27" t="n"/>
      <c r="C2361" s="28" t="n"/>
      <c r="D2361" s="29" t="n"/>
      <c r="E2361" s="29" t="n"/>
      <c r="F2361" s="29" t="n"/>
      <c r="G2361" s="30" t="n"/>
      <c r="H2361" s="31">
        <f>IF(G2361="","",SUMIF(C$2:C2361,"Masuk",G$2:G2361)-SUMIF(C$2:C2361,"Keluar",G$2:G2361))</f>
        <v/>
      </c>
    </row>
    <row r="2362">
      <c r="A2362" s="22" t="n"/>
      <c r="B2362" s="23" t="n"/>
      <c r="C2362" s="24" t="n"/>
      <c r="D2362" s="17" t="n"/>
      <c r="E2362" s="17" t="n"/>
      <c r="F2362" s="17" t="n"/>
      <c r="G2362" s="15" t="n"/>
      <c r="H2362" s="25">
        <f>IF(G2362="","",SUMIF(C$2:C2362,"Masuk",G$2:G2362)-SUMIF(C$2:C2362,"Keluar",G$2:G2362))</f>
        <v/>
      </c>
    </row>
    <row r="2363">
      <c r="A2363" s="26" t="n"/>
      <c r="B2363" s="27" t="n"/>
      <c r="C2363" s="28" t="n"/>
      <c r="D2363" s="29" t="n"/>
      <c r="E2363" s="29" t="n"/>
      <c r="F2363" s="29" t="n"/>
      <c r="G2363" s="30" t="n"/>
      <c r="H2363" s="31">
        <f>IF(G2363="","",SUMIF(C$2:C2363,"Masuk",G$2:G2363)-SUMIF(C$2:C2363,"Keluar",G$2:G2363))</f>
        <v/>
      </c>
    </row>
    <row r="2364">
      <c r="A2364" s="22" t="n"/>
      <c r="B2364" s="23" t="n"/>
      <c r="C2364" s="24" t="n"/>
      <c r="D2364" s="17" t="n"/>
      <c r="E2364" s="17" t="n"/>
      <c r="F2364" s="17" t="n"/>
      <c r="G2364" s="15" t="n"/>
      <c r="H2364" s="25">
        <f>IF(G2364="","",SUMIF(C$2:C2364,"Masuk",G$2:G2364)-SUMIF(C$2:C2364,"Keluar",G$2:G2364))</f>
        <v/>
      </c>
    </row>
    <row r="2365">
      <c r="A2365" s="26" t="n"/>
      <c r="B2365" s="27" t="n"/>
      <c r="C2365" s="28" t="n"/>
      <c r="D2365" s="29" t="n"/>
      <c r="E2365" s="29" t="n"/>
      <c r="F2365" s="29" t="n"/>
      <c r="G2365" s="30" t="n"/>
      <c r="H2365" s="31">
        <f>IF(G2365="","",SUMIF(C$2:C2365,"Masuk",G$2:G2365)-SUMIF(C$2:C2365,"Keluar",G$2:G2365))</f>
        <v/>
      </c>
    </row>
    <row r="2366">
      <c r="A2366" s="22" t="n"/>
      <c r="B2366" s="23" t="n"/>
      <c r="C2366" s="24" t="n"/>
      <c r="D2366" s="17" t="n"/>
      <c r="E2366" s="17" t="n"/>
      <c r="F2366" s="17" t="n"/>
      <c r="G2366" s="15" t="n"/>
      <c r="H2366" s="25">
        <f>IF(G2366="","",SUMIF(C$2:C2366,"Masuk",G$2:G2366)-SUMIF(C$2:C2366,"Keluar",G$2:G2366))</f>
        <v/>
      </c>
    </row>
    <row r="2367">
      <c r="A2367" s="26" t="n"/>
      <c r="B2367" s="27" t="n"/>
      <c r="C2367" s="28" t="n"/>
      <c r="D2367" s="29" t="n"/>
      <c r="E2367" s="29" t="n"/>
      <c r="F2367" s="29" t="n"/>
      <c r="G2367" s="30" t="n"/>
      <c r="H2367" s="31">
        <f>IF(G2367="","",SUMIF(C$2:C2367,"Masuk",G$2:G2367)-SUMIF(C$2:C2367,"Keluar",G$2:G2367))</f>
        <v/>
      </c>
    </row>
    <row r="2368">
      <c r="A2368" s="22" t="n"/>
      <c r="B2368" s="23" t="n"/>
      <c r="C2368" s="24" t="n"/>
      <c r="D2368" s="17" t="n"/>
      <c r="E2368" s="17" t="n"/>
      <c r="F2368" s="17" t="n"/>
      <c r="G2368" s="15" t="n"/>
      <c r="H2368" s="25">
        <f>IF(G2368="","",SUMIF(C$2:C2368,"Masuk",G$2:G2368)-SUMIF(C$2:C2368,"Keluar",G$2:G2368))</f>
        <v/>
      </c>
    </row>
    <row r="2369">
      <c r="A2369" s="26" t="n"/>
      <c r="B2369" s="27" t="n"/>
      <c r="C2369" s="28" t="n"/>
      <c r="D2369" s="29" t="n"/>
      <c r="E2369" s="29" t="n"/>
      <c r="F2369" s="29" t="n"/>
      <c r="G2369" s="30" t="n"/>
      <c r="H2369" s="31">
        <f>IF(G2369="","",SUMIF(C$2:C2369,"Masuk",G$2:G2369)-SUMIF(C$2:C2369,"Keluar",G$2:G2369))</f>
        <v/>
      </c>
    </row>
    <row r="2370">
      <c r="A2370" s="22" t="n"/>
      <c r="B2370" s="23" t="n"/>
      <c r="C2370" s="24" t="n"/>
      <c r="D2370" s="17" t="n"/>
      <c r="E2370" s="17" t="n"/>
      <c r="F2370" s="17" t="n"/>
      <c r="G2370" s="15" t="n"/>
      <c r="H2370" s="25">
        <f>IF(G2370="","",SUMIF(C$2:C2370,"Masuk",G$2:G2370)-SUMIF(C$2:C2370,"Keluar",G$2:G2370))</f>
        <v/>
      </c>
    </row>
    <row r="2371">
      <c r="A2371" s="26" t="n"/>
      <c r="B2371" s="27" t="n"/>
      <c r="C2371" s="28" t="n"/>
      <c r="D2371" s="29" t="n"/>
      <c r="E2371" s="29" t="n"/>
      <c r="F2371" s="29" t="n"/>
      <c r="G2371" s="30" t="n"/>
      <c r="H2371" s="31">
        <f>IF(G2371="","",SUMIF(C$2:C2371,"Masuk",G$2:G2371)-SUMIF(C$2:C2371,"Keluar",G$2:G2371))</f>
        <v/>
      </c>
    </row>
    <row r="2372">
      <c r="A2372" s="22" t="n"/>
      <c r="B2372" s="23" t="n"/>
      <c r="C2372" s="24" t="n"/>
      <c r="D2372" s="17" t="n"/>
      <c r="E2372" s="17" t="n"/>
      <c r="F2372" s="17" t="n"/>
      <c r="G2372" s="15" t="n"/>
      <c r="H2372" s="25">
        <f>IF(G2372="","",SUMIF(C$2:C2372,"Masuk",G$2:G2372)-SUMIF(C$2:C2372,"Keluar",G$2:G2372))</f>
        <v/>
      </c>
    </row>
    <row r="2373">
      <c r="A2373" s="26" t="n"/>
      <c r="B2373" s="27" t="n"/>
      <c r="C2373" s="28" t="n"/>
      <c r="D2373" s="29" t="n"/>
      <c r="E2373" s="29" t="n"/>
      <c r="F2373" s="29" t="n"/>
      <c r="G2373" s="30" t="n"/>
      <c r="H2373" s="31">
        <f>IF(G2373="","",SUMIF(C$2:C2373,"Masuk",G$2:G2373)-SUMIF(C$2:C2373,"Keluar",G$2:G2373))</f>
        <v/>
      </c>
    </row>
    <row r="2374">
      <c r="A2374" s="22" t="n"/>
      <c r="B2374" s="23" t="n"/>
      <c r="C2374" s="24" t="n"/>
      <c r="D2374" s="17" t="n"/>
      <c r="E2374" s="17" t="n"/>
      <c r="F2374" s="17" t="n"/>
      <c r="G2374" s="15" t="n"/>
      <c r="H2374" s="25">
        <f>IF(G2374="","",SUMIF(C$2:C2374,"Masuk",G$2:G2374)-SUMIF(C$2:C2374,"Keluar",G$2:G2374))</f>
        <v/>
      </c>
    </row>
    <row r="2375">
      <c r="A2375" s="26" t="n"/>
      <c r="B2375" s="27" t="n"/>
      <c r="C2375" s="28" t="n"/>
      <c r="D2375" s="29" t="n"/>
      <c r="E2375" s="29" t="n"/>
      <c r="F2375" s="29" t="n"/>
      <c r="G2375" s="30" t="n"/>
      <c r="H2375" s="31">
        <f>IF(G2375="","",SUMIF(C$2:C2375,"Masuk",G$2:G2375)-SUMIF(C$2:C2375,"Keluar",G$2:G2375))</f>
        <v/>
      </c>
    </row>
    <row r="2376">
      <c r="A2376" s="22" t="n"/>
      <c r="B2376" s="23" t="n"/>
      <c r="C2376" s="24" t="n"/>
      <c r="D2376" s="17" t="n"/>
      <c r="E2376" s="17" t="n"/>
      <c r="F2376" s="17" t="n"/>
      <c r="G2376" s="15" t="n"/>
      <c r="H2376" s="25">
        <f>IF(G2376="","",SUMIF(C$2:C2376,"Masuk",G$2:G2376)-SUMIF(C$2:C2376,"Keluar",G$2:G2376))</f>
        <v/>
      </c>
    </row>
    <row r="2377">
      <c r="A2377" s="26" t="n"/>
      <c r="B2377" s="27" t="n"/>
      <c r="C2377" s="28" t="n"/>
      <c r="D2377" s="29" t="n"/>
      <c r="E2377" s="29" t="n"/>
      <c r="F2377" s="29" t="n"/>
      <c r="G2377" s="30" t="n"/>
      <c r="H2377" s="31">
        <f>IF(G2377="","",SUMIF(C$2:C2377,"Masuk",G$2:G2377)-SUMIF(C$2:C2377,"Keluar",G$2:G2377))</f>
        <v/>
      </c>
    </row>
    <row r="2378">
      <c r="A2378" s="22" t="n"/>
      <c r="B2378" s="23" t="n"/>
      <c r="C2378" s="24" t="n"/>
      <c r="D2378" s="17" t="n"/>
      <c r="E2378" s="17" t="n"/>
      <c r="F2378" s="17" t="n"/>
      <c r="G2378" s="15" t="n"/>
      <c r="H2378" s="25">
        <f>IF(G2378="","",SUMIF(C$2:C2378,"Masuk",G$2:G2378)-SUMIF(C$2:C2378,"Keluar",G$2:G2378))</f>
        <v/>
      </c>
    </row>
    <row r="2379">
      <c r="A2379" s="26" t="n"/>
      <c r="B2379" s="27" t="n"/>
      <c r="C2379" s="28" t="n"/>
      <c r="D2379" s="29" t="n"/>
      <c r="E2379" s="29" t="n"/>
      <c r="F2379" s="29" t="n"/>
      <c r="G2379" s="30" t="n"/>
      <c r="H2379" s="31">
        <f>IF(G2379="","",SUMIF(C$2:C2379,"Masuk",G$2:G2379)-SUMIF(C$2:C2379,"Keluar",G$2:G2379))</f>
        <v/>
      </c>
    </row>
    <row r="2380">
      <c r="A2380" s="22" t="n"/>
      <c r="B2380" s="23" t="n"/>
      <c r="C2380" s="24" t="n"/>
      <c r="D2380" s="17" t="n"/>
      <c r="E2380" s="17" t="n"/>
      <c r="F2380" s="17" t="n"/>
      <c r="G2380" s="15" t="n"/>
      <c r="H2380" s="25">
        <f>IF(G2380="","",SUMIF(C$2:C2380,"Masuk",G$2:G2380)-SUMIF(C$2:C2380,"Keluar",G$2:G2380))</f>
        <v/>
      </c>
    </row>
    <row r="2381">
      <c r="A2381" s="26" t="n"/>
      <c r="B2381" s="27" t="n"/>
      <c r="C2381" s="28" t="n"/>
      <c r="D2381" s="29" t="n"/>
      <c r="E2381" s="29" t="n"/>
      <c r="F2381" s="29" t="n"/>
      <c r="G2381" s="30" t="n"/>
      <c r="H2381" s="31">
        <f>IF(G2381="","",SUMIF(C$2:C2381,"Masuk",G$2:G2381)-SUMIF(C$2:C2381,"Keluar",G$2:G2381))</f>
        <v/>
      </c>
    </row>
    <row r="2382">
      <c r="A2382" s="22" t="n"/>
      <c r="B2382" s="23" t="n"/>
      <c r="C2382" s="24" t="n"/>
      <c r="D2382" s="17" t="n"/>
      <c r="E2382" s="17" t="n"/>
      <c r="F2382" s="17" t="n"/>
      <c r="G2382" s="15" t="n"/>
      <c r="H2382" s="25">
        <f>IF(G2382="","",SUMIF(C$2:C2382,"Masuk",G$2:G2382)-SUMIF(C$2:C2382,"Keluar",G$2:G2382))</f>
        <v/>
      </c>
    </row>
    <row r="2383">
      <c r="A2383" s="26" t="n"/>
      <c r="B2383" s="27" t="n"/>
      <c r="C2383" s="28" t="n"/>
      <c r="D2383" s="29" t="n"/>
      <c r="E2383" s="29" t="n"/>
      <c r="F2383" s="29" t="n"/>
      <c r="G2383" s="30" t="n"/>
      <c r="H2383" s="31">
        <f>IF(G2383="","",SUMIF(C$2:C2383,"Masuk",G$2:G2383)-SUMIF(C$2:C2383,"Keluar",G$2:G2383))</f>
        <v/>
      </c>
    </row>
    <row r="2384">
      <c r="A2384" s="22" t="n"/>
      <c r="B2384" s="23" t="n"/>
      <c r="C2384" s="24" t="n"/>
      <c r="D2384" s="17" t="n"/>
      <c r="E2384" s="17" t="n"/>
      <c r="F2384" s="17" t="n"/>
      <c r="G2384" s="15" t="n"/>
      <c r="H2384" s="25">
        <f>IF(G2384="","",SUMIF(C$2:C2384,"Masuk",G$2:G2384)-SUMIF(C$2:C2384,"Keluar",G$2:G2384))</f>
        <v/>
      </c>
    </row>
    <row r="2385">
      <c r="A2385" s="26" t="n"/>
      <c r="B2385" s="27" t="n"/>
      <c r="C2385" s="28" t="n"/>
      <c r="D2385" s="29" t="n"/>
      <c r="E2385" s="29" t="n"/>
      <c r="F2385" s="29" t="n"/>
      <c r="G2385" s="30" t="n"/>
      <c r="H2385" s="31">
        <f>IF(G2385="","",SUMIF(C$2:C2385,"Masuk",G$2:G2385)-SUMIF(C$2:C2385,"Keluar",G$2:G2385))</f>
        <v/>
      </c>
    </row>
    <row r="2386">
      <c r="A2386" s="22" t="n"/>
      <c r="B2386" s="23" t="n"/>
      <c r="C2386" s="24" t="n"/>
      <c r="D2386" s="17" t="n"/>
      <c r="E2386" s="17" t="n"/>
      <c r="F2386" s="17" t="n"/>
      <c r="G2386" s="15" t="n"/>
      <c r="H2386" s="25">
        <f>IF(G2386="","",SUMIF(C$2:C2386,"Masuk",G$2:G2386)-SUMIF(C$2:C2386,"Keluar",G$2:G2386))</f>
        <v/>
      </c>
    </row>
    <row r="2387">
      <c r="A2387" s="26" t="n"/>
      <c r="B2387" s="27" t="n"/>
      <c r="C2387" s="28" t="n"/>
      <c r="D2387" s="29" t="n"/>
      <c r="E2387" s="29" t="n"/>
      <c r="F2387" s="29" t="n"/>
      <c r="G2387" s="30" t="n"/>
      <c r="H2387" s="31">
        <f>IF(G2387="","",SUMIF(C$2:C2387,"Masuk",G$2:G2387)-SUMIF(C$2:C2387,"Keluar",G$2:G2387))</f>
        <v/>
      </c>
    </row>
    <row r="2388">
      <c r="A2388" s="22" t="n"/>
      <c r="B2388" s="23" t="n"/>
      <c r="C2388" s="24" t="n"/>
      <c r="D2388" s="17" t="n"/>
      <c r="E2388" s="17" t="n"/>
      <c r="F2388" s="17" t="n"/>
      <c r="G2388" s="15" t="n"/>
      <c r="H2388" s="25">
        <f>IF(G2388="","",SUMIF(C$2:C2388,"Masuk",G$2:G2388)-SUMIF(C$2:C2388,"Keluar",G$2:G2388))</f>
        <v/>
      </c>
    </row>
    <row r="2389">
      <c r="A2389" s="26" t="n"/>
      <c r="B2389" s="27" t="n"/>
      <c r="C2389" s="28" t="n"/>
      <c r="D2389" s="29" t="n"/>
      <c r="E2389" s="29" t="n"/>
      <c r="F2389" s="29" t="n"/>
      <c r="G2389" s="30" t="n"/>
      <c r="H2389" s="31">
        <f>IF(G2389="","",SUMIF(C$2:C2389,"Masuk",G$2:G2389)-SUMIF(C$2:C2389,"Keluar",G$2:G2389))</f>
        <v/>
      </c>
    </row>
    <row r="2390">
      <c r="A2390" s="22" t="n"/>
      <c r="B2390" s="23" t="n"/>
      <c r="C2390" s="24" t="n"/>
      <c r="D2390" s="17" t="n"/>
      <c r="E2390" s="17" t="n"/>
      <c r="F2390" s="17" t="n"/>
      <c r="G2390" s="15" t="n"/>
      <c r="H2390" s="25">
        <f>IF(G2390="","",SUMIF(C$2:C2390,"Masuk",G$2:G2390)-SUMIF(C$2:C2390,"Keluar",G$2:G2390))</f>
        <v/>
      </c>
    </row>
    <row r="2391">
      <c r="A2391" s="26" t="n"/>
      <c r="B2391" s="27" t="n"/>
      <c r="C2391" s="28" t="n"/>
      <c r="D2391" s="29" t="n"/>
      <c r="E2391" s="29" t="n"/>
      <c r="F2391" s="29" t="n"/>
      <c r="G2391" s="30" t="n"/>
      <c r="H2391" s="31">
        <f>IF(G2391="","",SUMIF(C$2:C2391,"Masuk",G$2:G2391)-SUMIF(C$2:C2391,"Keluar",G$2:G2391))</f>
        <v/>
      </c>
    </row>
    <row r="2392">
      <c r="A2392" s="22" t="n"/>
      <c r="B2392" s="23" t="n"/>
      <c r="C2392" s="24" t="n"/>
      <c r="D2392" s="17" t="n"/>
      <c r="E2392" s="17" t="n"/>
      <c r="F2392" s="17" t="n"/>
      <c r="G2392" s="15" t="n"/>
      <c r="H2392" s="25">
        <f>IF(G2392="","",SUMIF(C$2:C2392,"Masuk",G$2:G2392)-SUMIF(C$2:C2392,"Keluar",G$2:G2392))</f>
        <v/>
      </c>
    </row>
    <row r="2393">
      <c r="A2393" s="26" t="n"/>
      <c r="B2393" s="27" t="n"/>
      <c r="C2393" s="28" t="n"/>
      <c r="D2393" s="29" t="n"/>
      <c r="E2393" s="29" t="n"/>
      <c r="F2393" s="29" t="n"/>
      <c r="G2393" s="30" t="n"/>
      <c r="H2393" s="31">
        <f>IF(G2393="","",SUMIF(C$2:C2393,"Masuk",G$2:G2393)-SUMIF(C$2:C2393,"Keluar",G$2:G2393))</f>
        <v/>
      </c>
    </row>
    <row r="2394">
      <c r="A2394" s="22" t="n"/>
      <c r="B2394" s="23" t="n"/>
      <c r="C2394" s="24" t="n"/>
      <c r="D2394" s="17" t="n"/>
      <c r="E2394" s="17" t="n"/>
      <c r="F2394" s="17" t="n"/>
      <c r="G2394" s="15" t="n"/>
      <c r="H2394" s="25">
        <f>IF(G2394="","",SUMIF(C$2:C2394,"Masuk",G$2:G2394)-SUMIF(C$2:C2394,"Keluar",G$2:G2394))</f>
        <v/>
      </c>
    </row>
    <row r="2395">
      <c r="A2395" s="26" t="n"/>
      <c r="B2395" s="27" t="n"/>
      <c r="C2395" s="28" t="n"/>
      <c r="D2395" s="29" t="n"/>
      <c r="E2395" s="29" t="n"/>
      <c r="F2395" s="29" t="n"/>
      <c r="G2395" s="30" t="n"/>
      <c r="H2395" s="31">
        <f>IF(G2395="","",SUMIF(C$2:C2395,"Masuk",G$2:G2395)-SUMIF(C$2:C2395,"Keluar",G$2:G2395))</f>
        <v/>
      </c>
    </row>
    <row r="2396">
      <c r="A2396" s="22" t="n"/>
      <c r="B2396" s="23" t="n"/>
      <c r="C2396" s="24" t="n"/>
      <c r="D2396" s="17" t="n"/>
      <c r="E2396" s="17" t="n"/>
      <c r="F2396" s="17" t="n"/>
      <c r="G2396" s="15" t="n"/>
      <c r="H2396" s="25">
        <f>IF(G2396="","",SUMIF(C$2:C2396,"Masuk",G$2:G2396)-SUMIF(C$2:C2396,"Keluar",G$2:G2396))</f>
        <v/>
      </c>
    </row>
    <row r="2397">
      <c r="A2397" s="26" t="n"/>
      <c r="B2397" s="27" t="n"/>
      <c r="C2397" s="28" t="n"/>
      <c r="D2397" s="29" t="n"/>
      <c r="E2397" s="29" t="n"/>
      <c r="F2397" s="29" t="n"/>
      <c r="G2397" s="30" t="n"/>
      <c r="H2397" s="31">
        <f>IF(G2397="","",SUMIF(C$2:C2397,"Masuk",G$2:G2397)-SUMIF(C$2:C2397,"Keluar",G$2:G2397))</f>
        <v/>
      </c>
    </row>
    <row r="2398">
      <c r="A2398" s="22" t="n"/>
      <c r="B2398" s="23" t="n"/>
      <c r="C2398" s="24" t="n"/>
      <c r="D2398" s="17" t="n"/>
      <c r="E2398" s="17" t="n"/>
      <c r="F2398" s="17" t="n"/>
      <c r="G2398" s="15" t="n"/>
      <c r="H2398" s="25">
        <f>IF(G2398="","",SUMIF(C$2:C2398,"Masuk",G$2:G2398)-SUMIF(C$2:C2398,"Keluar",G$2:G2398))</f>
        <v/>
      </c>
    </row>
    <row r="2399">
      <c r="A2399" s="26" t="n"/>
      <c r="B2399" s="27" t="n"/>
      <c r="C2399" s="28" t="n"/>
      <c r="D2399" s="29" t="n"/>
      <c r="E2399" s="29" t="n"/>
      <c r="F2399" s="29" t="n"/>
      <c r="G2399" s="30" t="n"/>
      <c r="H2399" s="31">
        <f>IF(G2399="","",SUMIF(C$2:C2399,"Masuk",G$2:G2399)-SUMIF(C$2:C2399,"Keluar",G$2:G2399))</f>
        <v/>
      </c>
    </row>
    <row r="2400">
      <c r="A2400" s="22" t="n"/>
      <c r="B2400" s="23" t="n"/>
      <c r="C2400" s="24" t="n"/>
      <c r="D2400" s="17" t="n"/>
      <c r="E2400" s="17" t="n"/>
      <c r="F2400" s="17" t="n"/>
      <c r="G2400" s="15" t="n"/>
      <c r="H2400" s="25">
        <f>IF(G2400="","",SUMIF(C$2:C2400,"Masuk",G$2:G2400)-SUMIF(C$2:C2400,"Keluar",G$2:G2400))</f>
        <v/>
      </c>
    </row>
    <row r="2401">
      <c r="A2401" s="26" t="n"/>
      <c r="B2401" s="27" t="n"/>
      <c r="C2401" s="28" t="n"/>
      <c r="D2401" s="29" t="n"/>
      <c r="E2401" s="29" t="n"/>
      <c r="F2401" s="29" t="n"/>
      <c r="G2401" s="30" t="n"/>
      <c r="H2401" s="31">
        <f>IF(G2401="","",SUMIF(C$2:C2401,"Masuk",G$2:G2401)-SUMIF(C$2:C2401,"Keluar",G$2:G2401))</f>
        <v/>
      </c>
    </row>
    <row r="2402">
      <c r="A2402" s="22" t="n"/>
      <c r="B2402" s="23" t="n"/>
      <c r="C2402" s="24" t="n"/>
      <c r="D2402" s="17" t="n"/>
      <c r="E2402" s="17" t="n"/>
      <c r="F2402" s="17" t="n"/>
      <c r="G2402" s="15" t="n"/>
      <c r="H2402" s="25">
        <f>IF(G2402="","",SUMIF(C$2:C2402,"Masuk",G$2:G2402)-SUMIF(C$2:C2402,"Keluar",G$2:G2402))</f>
        <v/>
      </c>
    </row>
    <row r="2403">
      <c r="A2403" s="26" t="n"/>
      <c r="B2403" s="27" t="n"/>
      <c r="C2403" s="28" t="n"/>
      <c r="D2403" s="29" t="n"/>
      <c r="E2403" s="29" t="n"/>
      <c r="F2403" s="29" t="n"/>
      <c r="G2403" s="30" t="n"/>
      <c r="H2403" s="31">
        <f>IF(G2403="","",SUMIF(C$2:C2403,"Masuk",G$2:G2403)-SUMIF(C$2:C2403,"Keluar",G$2:G2403))</f>
        <v/>
      </c>
    </row>
    <row r="2404">
      <c r="A2404" s="22" t="n"/>
      <c r="B2404" s="23" t="n"/>
      <c r="C2404" s="24" t="n"/>
      <c r="D2404" s="17" t="n"/>
      <c r="E2404" s="17" t="n"/>
      <c r="F2404" s="17" t="n"/>
      <c r="G2404" s="15" t="n"/>
      <c r="H2404" s="25">
        <f>IF(G2404="","",SUMIF(C$2:C2404,"Masuk",G$2:G2404)-SUMIF(C$2:C2404,"Keluar",G$2:G2404))</f>
        <v/>
      </c>
    </row>
    <row r="2405">
      <c r="A2405" s="26" t="n"/>
      <c r="B2405" s="27" t="n"/>
      <c r="C2405" s="28" t="n"/>
      <c r="D2405" s="29" t="n"/>
      <c r="E2405" s="29" t="n"/>
      <c r="F2405" s="29" t="n"/>
      <c r="G2405" s="30" t="n"/>
      <c r="H2405" s="31">
        <f>IF(G2405="","",SUMIF(C$2:C2405,"Masuk",G$2:G2405)-SUMIF(C$2:C2405,"Keluar",G$2:G2405))</f>
        <v/>
      </c>
    </row>
    <row r="2406">
      <c r="A2406" s="22" t="n"/>
      <c r="B2406" s="23" t="n"/>
      <c r="C2406" s="24" t="n"/>
      <c r="D2406" s="17" t="n"/>
      <c r="E2406" s="17" t="n"/>
      <c r="F2406" s="17" t="n"/>
      <c r="G2406" s="15" t="n"/>
      <c r="H2406" s="25">
        <f>IF(G2406="","",SUMIF(C$2:C2406,"Masuk",G$2:G2406)-SUMIF(C$2:C2406,"Keluar",G$2:G2406))</f>
        <v/>
      </c>
    </row>
    <row r="2407">
      <c r="A2407" s="26" t="n"/>
      <c r="B2407" s="27" t="n"/>
      <c r="C2407" s="28" t="n"/>
      <c r="D2407" s="29" t="n"/>
      <c r="E2407" s="29" t="n"/>
      <c r="F2407" s="29" t="n"/>
      <c r="G2407" s="30" t="n"/>
      <c r="H2407" s="31">
        <f>IF(G2407="","",SUMIF(C$2:C2407,"Masuk",G$2:G2407)-SUMIF(C$2:C2407,"Keluar",G$2:G2407))</f>
        <v/>
      </c>
    </row>
    <row r="2408">
      <c r="A2408" s="22" t="n"/>
      <c r="B2408" s="23" t="n"/>
      <c r="C2408" s="24" t="n"/>
      <c r="D2408" s="17" t="n"/>
      <c r="E2408" s="17" t="n"/>
      <c r="F2408" s="17" t="n"/>
      <c r="G2408" s="15" t="n"/>
      <c r="H2408" s="25">
        <f>IF(G2408="","",SUMIF(C$2:C2408,"Masuk",G$2:G2408)-SUMIF(C$2:C2408,"Keluar",G$2:G2408))</f>
        <v/>
      </c>
    </row>
    <row r="2409">
      <c r="A2409" s="26" t="n"/>
      <c r="B2409" s="27" t="n"/>
      <c r="C2409" s="28" t="n"/>
      <c r="D2409" s="29" t="n"/>
      <c r="E2409" s="29" t="n"/>
      <c r="F2409" s="29" t="n"/>
      <c r="G2409" s="30" t="n"/>
      <c r="H2409" s="31">
        <f>IF(G2409="","",SUMIF(C$2:C2409,"Masuk",G$2:G2409)-SUMIF(C$2:C2409,"Keluar",G$2:G2409))</f>
        <v/>
      </c>
    </row>
    <row r="2410">
      <c r="A2410" s="22" t="n"/>
      <c r="B2410" s="23" t="n"/>
      <c r="C2410" s="24" t="n"/>
      <c r="D2410" s="17" t="n"/>
      <c r="E2410" s="17" t="n"/>
      <c r="F2410" s="17" t="n"/>
      <c r="G2410" s="15" t="n"/>
      <c r="H2410" s="25">
        <f>IF(G2410="","",SUMIF(C$2:C2410,"Masuk",G$2:G2410)-SUMIF(C$2:C2410,"Keluar",G$2:G2410))</f>
        <v/>
      </c>
    </row>
    <row r="2411">
      <c r="A2411" s="26" t="n"/>
      <c r="B2411" s="27" t="n"/>
      <c r="C2411" s="28" t="n"/>
      <c r="D2411" s="29" t="n"/>
      <c r="E2411" s="29" t="n"/>
      <c r="F2411" s="29" t="n"/>
      <c r="G2411" s="30" t="n"/>
      <c r="H2411" s="31">
        <f>IF(G2411="","",SUMIF(C$2:C2411,"Masuk",G$2:G2411)-SUMIF(C$2:C2411,"Keluar",G$2:G2411))</f>
        <v/>
      </c>
    </row>
    <row r="2412">
      <c r="A2412" s="22" t="n"/>
      <c r="B2412" s="23" t="n"/>
      <c r="C2412" s="24" t="n"/>
      <c r="D2412" s="17" t="n"/>
      <c r="E2412" s="17" t="n"/>
      <c r="F2412" s="17" t="n"/>
      <c r="G2412" s="15" t="n"/>
      <c r="H2412" s="25">
        <f>IF(G2412="","",SUMIF(C$2:C2412,"Masuk",G$2:G2412)-SUMIF(C$2:C2412,"Keluar",G$2:G2412))</f>
        <v/>
      </c>
    </row>
    <row r="2413">
      <c r="A2413" s="26" t="n"/>
      <c r="B2413" s="27" t="n"/>
      <c r="C2413" s="28" t="n"/>
      <c r="D2413" s="29" t="n"/>
      <c r="E2413" s="29" t="n"/>
      <c r="F2413" s="29" t="n"/>
      <c r="G2413" s="30" t="n"/>
      <c r="H2413" s="31">
        <f>IF(G2413="","",SUMIF(C$2:C2413,"Masuk",G$2:G2413)-SUMIF(C$2:C2413,"Keluar",G$2:G2413))</f>
        <v/>
      </c>
    </row>
    <row r="2414">
      <c r="A2414" s="22" t="n"/>
      <c r="B2414" s="23" t="n"/>
      <c r="C2414" s="24" t="n"/>
      <c r="D2414" s="17" t="n"/>
      <c r="E2414" s="17" t="n"/>
      <c r="F2414" s="17" t="n"/>
      <c r="G2414" s="15" t="n"/>
      <c r="H2414" s="25">
        <f>IF(G2414="","",SUMIF(C$2:C2414,"Masuk",G$2:G2414)-SUMIF(C$2:C2414,"Keluar",G$2:G2414))</f>
        <v/>
      </c>
    </row>
    <row r="2415">
      <c r="A2415" s="26" t="n"/>
      <c r="B2415" s="27" t="n"/>
      <c r="C2415" s="28" t="n"/>
      <c r="D2415" s="29" t="n"/>
      <c r="E2415" s="29" t="n"/>
      <c r="F2415" s="29" t="n"/>
      <c r="G2415" s="30" t="n"/>
      <c r="H2415" s="31">
        <f>IF(G2415="","",SUMIF(C$2:C2415,"Masuk",G$2:G2415)-SUMIF(C$2:C2415,"Keluar",G$2:G2415))</f>
        <v/>
      </c>
    </row>
    <row r="2416">
      <c r="A2416" s="22" t="n"/>
      <c r="B2416" s="23" t="n"/>
      <c r="C2416" s="24" t="n"/>
      <c r="D2416" s="17" t="n"/>
      <c r="E2416" s="17" t="n"/>
      <c r="F2416" s="17" t="n"/>
      <c r="G2416" s="15" t="n"/>
      <c r="H2416" s="25">
        <f>IF(G2416="","",SUMIF(C$2:C2416,"Masuk",G$2:G2416)-SUMIF(C$2:C2416,"Keluar",G$2:G2416))</f>
        <v/>
      </c>
    </row>
    <row r="2417">
      <c r="A2417" s="26" t="n"/>
      <c r="B2417" s="27" t="n"/>
      <c r="C2417" s="28" t="n"/>
      <c r="D2417" s="29" t="n"/>
      <c r="E2417" s="29" t="n"/>
      <c r="F2417" s="29" t="n"/>
      <c r="G2417" s="30" t="n"/>
      <c r="H2417" s="31">
        <f>IF(G2417="","",SUMIF(C$2:C2417,"Masuk",G$2:G2417)-SUMIF(C$2:C2417,"Keluar",G$2:G2417))</f>
        <v/>
      </c>
    </row>
    <row r="2418">
      <c r="A2418" s="22" t="n"/>
      <c r="B2418" s="23" t="n"/>
      <c r="C2418" s="24" t="n"/>
      <c r="D2418" s="17" t="n"/>
      <c r="E2418" s="17" t="n"/>
      <c r="F2418" s="17" t="n"/>
      <c r="G2418" s="15" t="n"/>
      <c r="H2418" s="25">
        <f>IF(G2418="","",SUMIF(C$2:C2418,"Masuk",G$2:G2418)-SUMIF(C$2:C2418,"Keluar",G$2:G2418))</f>
        <v/>
      </c>
    </row>
    <row r="2419">
      <c r="A2419" s="26" t="n"/>
      <c r="B2419" s="27" t="n"/>
      <c r="C2419" s="28" t="n"/>
      <c r="D2419" s="29" t="n"/>
      <c r="E2419" s="29" t="n"/>
      <c r="F2419" s="29" t="n"/>
      <c r="G2419" s="30" t="n"/>
      <c r="H2419" s="31">
        <f>IF(G2419="","",SUMIF(C$2:C2419,"Masuk",G$2:G2419)-SUMIF(C$2:C2419,"Keluar",G$2:G2419))</f>
        <v/>
      </c>
    </row>
    <row r="2420">
      <c r="A2420" s="22" t="n"/>
      <c r="B2420" s="23" t="n"/>
      <c r="C2420" s="24" t="n"/>
      <c r="D2420" s="17" t="n"/>
      <c r="E2420" s="17" t="n"/>
      <c r="F2420" s="17" t="n"/>
      <c r="G2420" s="15" t="n"/>
      <c r="H2420" s="25">
        <f>IF(G2420="","",SUMIF(C$2:C2420,"Masuk",G$2:G2420)-SUMIF(C$2:C2420,"Keluar",G$2:G2420))</f>
        <v/>
      </c>
    </row>
    <row r="2421">
      <c r="A2421" s="26" t="n"/>
      <c r="B2421" s="27" t="n"/>
      <c r="C2421" s="28" t="n"/>
      <c r="D2421" s="29" t="n"/>
      <c r="E2421" s="29" t="n"/>
      <c r="F2421" s="29" t="n"/>
      <c r="G2421" s="30" t="n"/>
      <c r="H2421" s="31">
        <f>IF(G2421="","",SUMIF(C$2:C2421,"Masuk",G$2:G2421)-SUMIF(C$2:C2421,"Keluar",G$2:G2421))</f>
        <v/>
      </c>
    </row>
    <row r="2422">
      <c r="A2422" s="22" t="n"/>
      <c r="B2422" s="23" t="n"/>
      <c r="C2422" s="24" t="n"/>
      <c r="D2422" s="17" t="n"/>
      <c r="E2422" s="17" t="n"/>
      <c r="F2422" s="17" t="n"/>
      <c r="G2422" s="15" t="n"/>
      <c r="H2422" s="25">
        <f>IF(G2422="","",SUMIF(C$2:C2422,"Masuk",G$2:G2422)-SUMIF(C$2:C2422,"Keluar",G$2:G2422))</f>
        <v/>
      </c>
    </row>
    <row r="2423">
      <c r="A2423" s="26" t="n"/>
      <c r="B2423" s="27" t="n"/>
      <c r="C2423" s="28" t="n"/>
      <c r="D2423" s="29" t="n"/>
      <c r="E2423" s="29" t="n"/>
      <c r="F2423" s="29" t="n"/>
      <c r="G2423" s="30" t="n"/>
      <c r="H2423" s="31">
        <f>IF(G2423="","",SUMIF(C$2:C2423,"Masuk",G$2:G2423)-SUMIF(C$2:C2423,"Keluar",G$2:G2423))</f>
        <v/>
      </c>
    </row>
    <row r="2424">
      <c r="A2424" s="22" t="n"/>
      <c r="B2424" s="23" t="n"/>
      <c r="C2424" s="24" t="n"/>
      <c r="D2424" s="17" t="n"/>
      <c r="E2424" s="17" t="n"/>
      <c r="F2424" s="17" t="n"/>
      <c r="G2424" s="15" t="n"/>
      <c r="H2424" s="25">
        <f>IF(G2424="","",SUMIF(C$2:C2424,"Masuk",G$2:G2424)-SUMIF(C$2:C2424,"Keluar",G$2:G2424))</f>
        <v/>
      </c>
    </row>
    <row r="2425">
      <c r="A2425" s="26" t="n"/>
      <c r="B2425" s="27" t="n"/>
      <c r="C2425" s="28" t="n"/>
      <c r="D2425" s="29" t="n"/>
      <c r="E2425" s="29" t="n"/>
      <c r="F2425" s="29" t="n"/>
      <c r="G2425" s="30" t="n"/>
      <c r="H2425" s="31">
        <f>IF(G2425="","",SUMIF(C$2:C2425,"Masuk",G$2:G2425)-SUMIF(C$2:C2425,"Keluar",G$2:G2425))</f>
        <v/>
      </c>
    </row>
    <row r="2426">
      <c r="A2426" s="22" t="n"/>
      <c r="B2426" s="23" t="n"/>
      <c r="C2426" s="24" t="n"/>
      <c r="D2426" s="17" t="n"/>
      <c r="E2426" s="17" t="n"/>
      <c r="F2426" s="17" t="n"/>
      <c r="G2426" s="15" t="n"/>
      <c r="H2426" s="25">
        <f>IF(G2426="","",SUMIF(C$2:C2426,"Masuk",G$2:G2426)-SUMIF(C$2:C2426,"Keluar",G$2:G2426))</f>
        <v/>
      </c>
    </row>
    <row r="2427">
      <c r="A2427" s="26" t="n"/>
      <c r="B2427" s="27" t="n"/>
      <c r="C2427" s="28" t="n"/>
      <c r="D2427" s="29" t="n"/>
      <c r="E2427" s="29" t="n"/>
      <c r="F2427" s="29" t="n"/>
      <c r="G2427" s="30" t="n"/>
      <c r="H2427" s="31">
        <f>IF(G2427="","",SUMIF(C$2:C2427,"Masuk",G$2:G2427)-SUMIF(C$2:C2427,"Keluar",G$2:G2427))</f>
        <v/>
      </c>
    </row>
    <row r="2428">
      <c r="A2428" s="22" t="n"/>
      <c r="B2428" s="23" t="n"/>
      <c r="C2428" s="24" t="n"/>
      <c r="D2428" s="17" t="n"/>
      <c r="E2428" s="17" t="n"/>
      <c r="F2428" s="17" t="n"/>
      <c r="G2428" s="15" t="n"/>
      <c r="H2428" s="25">
        <f>IF(G2428="","",SUMIF(C$2:C2428,"Masuk",G$2:G2428)-SUMIF(C$2:C2428,"Keluar",G$2:G2428))</f>
        <v/>
      </c>
    </row>
    <row r="2429">
      <c r="A2429" s="26" t="n"/>
      <c r="B2429" s="27" t="n"/>
      <c r="C2429" s="28" t="n"/>
      <c r="D2429" s="29" t="n"/>
      <c r="E2429" s="29" t="n"/>
      <c r="F2429" s="29" t="n"/>
      <c r="G2429" s="30" t="n"/>
      <c r="H2429" s="31">
        <f>IF(G2429="","",SUMIF(C$2:C2429,"Masuk",G$2:G2429)-SUMIF(C$2:C2429,"Keluar",G$2:G2429))</f>
        <v/>
      </c>
    </row>
    <row r="2430">
      <c r="A2430" s="22" t="n"/>
      <c r="B2430" s="23" t="n"/>
      <c r="C2430" s="24" t="n"/>
      <c r="D2430" s="17" t="n"/>
      <c r="E2430" s="17" t="n"/>
      <c r="F2430" s="17" t="n"/>
      <c r="G2430" s="15" t="n"/>
      <c r="H2430" s="25">
        <f>IF(G2430="","",SUMIF(C$2:C2430,"Masuk",G$2:G2430)-SUMIF(C$2:C2430,"Keluar",G$2:G2430))</f>
        <v/>
      </c>
    </row>
    <row r="2431">
      <c r="A2431" s="26" t="n"/>
      <c r="B2431" s="27" t="n"/>
      <c r="C2431" s="28" t="n"/>
      <c r="D2431" s="29" t="n"/>
      <c r="E2431" s="29" t="n"/>
      <c r="F2431" s="29" t="n"/>
      <c r="G2431" s="30" t="n"/>
      <c r="H2431" s="31">
        <f>IF(G2431="","",SUMIF(C$2:C2431,"Masuk",G$2:G2431)-SUMIF(C$2:C2431,"Keluar",G$2:G2431))</f>
        <v/>
      </c>
    </row>
    <row r="2432">
      <c r="A2432" s="22" t="n"/>
      <c r="B2432" s="23" t="n"/>
      <c r="C2432" s="24" t="n"/>
      <c r="D2432" s="17" t="n"/>
      <c r="E2432" s="17" t="n"/>
      <c r="F2432" s="17" t="n"/>
      <c r="G2432" s="15" t="n"/>
      <c r="H2432" s="25">
        <f>IF(G2432="","",SUMIF(C$2:C2432,"Masuk",G$2:G2432)-SUMIF(C$2:C2432,"Keluar",G$2:G2432))</f>
        <v/>
      </c>
    </row>
    <row r="2433">
      <c r="A2433" s="26" t="n"/>
      <c r="B2433" s="27" t="n"/>
      <c r="C2433" s="28" t="n"/>
      <c r="D2433" s="29" t="n"/>
      <c r="E2433" s="29" t="n"/>
      <c r="F2433" s="29" t="n"/>
      <c r="G2433" s="30" t="n"/>
      <c r="H2433" s="31">
        <f>IF(G2433="","",SUMIF(C$2:C2433,"Masuk",G$2:G2433)-SUMIF(C$2:C2433,"Keluar",G$2:G2433))</f>
        <v/>
      </c>
    </row>
    <row r="2434">
      <c r="A2434" s="22" t="n"/>
      <c r="B2434" s="23" t="n"/>
      <c r="C2434" s="24" t="n"/>
      <c r="D2434" s="17" t="n"/>
      <c r="E2434" s="17" t="n"/>
      <c r="F2434" s="17" t="n"/>
      <c r="G2434" s="15" t="n"/>
      <c r="H2434" s="25">
        <f>IF(G2434="","",SUMIF(C$2:C2434,"Masuk",G$2:G2434)-SUMIF(C$2:C2434,"Keluar",G$2:G2434))</f>
        <v/>
      </c>
    </row>
    <row r="2435">
      <c r="A2435" s="26" t="n"/>
      <c r="B2435" s="27" t="n"/>
      <c r="C2435" s="28" t="n"/>
      <c r="D2435" s="29" t="n"/>
      <c r="E2435" s="29" t="n"/>
      <c r="F2435" s="29" t="n"/>
      <c r="G2435" s="30" t="n"/>
      <c r="H2435" s="31">
        <f>IF(G2435="","",SUMIF(C$2:C2435,"Masuk",G$2:G2435)-SUMIF(C$2:C2435,"Keluar",G$2:G2435))</f>
        <v/>
      </c>
    </row>
    <row r="2436">
      <c r="A2436" s="22" t="n"/>
      <c r="B2436" s="23" t="n"/>
      <c r="C2436" s="24" t="n"/>
      <c r="D2436" s="17" t="n"/>
      <c r="E2436" s="17" t="n"/>
      <c r="F2436" s="17" t="n"/>
      <c r="G2436" s="15" t="n"/>
      <c r="H2436" s="25">
        <f>IF(G2436="","",SUMIF(C$2:C2436,"Masuk",G$2:G2436)-SUMIF(C$2:C2436,"Keluar",G$2:G2436))</f>
        <v/>
      </c>
    </row>
    <row r="2437">
      <c r="A2437" s="26" t="n"/>
      <c r="B2437" s="27" t="n"/>
      <c r="C2437" s="28" t="n"/>
      <c r="D2437" s="29" t="n"/>
      <c r="E2437" s="29" t="n"/>
      <c r="F2437" s="29" t="n"/>
      <c r="G2437" s="30" t="n"/>
      <c r="H2437" s="31">
        <f>IF(G2437="","",SUMIF(C$2:C2437,"Masuk",G$2:G2437)-SUMIF(C$2:C2437,"Keluar",G$2:G2437))</f>
        <v/>
      </c>
    </row>
    <row r="2438">
      <c r="A2438" s="22" t="n"/>
      <c r="B2438" s="23" t="n"/>
      <c r="C2438" s="24" t="n"/>
      <c r="D2438" s="17" t="n"/>
      <c r="E2438" s="17" t="n"/>
      <c r="F2438" s="17" t="n"/>
      <c r="G2438" s="15" t="n"/>
      <c r="H2438" s="25">
        <f>IF(G2438="","",SUMIF(C$2:C2438,"Masuk",G$2:G2438)-SUMIF(C$2:C2438,"Keluar",G$2:G2438))</f>
        <v/>
      </c>
    </row>
    <row r="2439">
      <c r="A2439" s="26" t="n"/>
      <c r="B2439" s="27" t="n"/>
      <c r="C2439" s="28" t="n"/>
      <c r="D2439" s="29" t="n"/>
      <c r="E2439" s="29" t="n"/>
      <c r="F2439" s="29" t="n"/>
      <c r="G2439" s="30" t="n"/>
      <c r="H2439" s="31">
        <f>IF(G2439="","",SUMIF(C$2:C2439,"Masuk",G$2:G2439)-SUMIF(C$2:C2439,"Keluar",G$2:G2439))</f>
        <v/>
      </c>
    </row>
    <row r="2440">
      <c r="A2440" s="22" t="n"/>
      <c r="B2440" s="23" t="n"/>
      <c r="C2440" s="24" t="n"/>
      <c r="D2440" s="17" t="n"/>
      <c r="E2440" s="17" t="n"/>
      <c r="F2440" s="17" t="n"/>
      <c r="G2440" s="15" t="n"/>
      <c r="H2440" s="25">
        <f>IF(G2440="","",SUMIF(C$2:C2440,"Masuk",G$2:G2440)-SUMIF(C$2:C2440,"Keluar",G$2:G2440))</f>
        <v/>
      </c>
    </row>
    <row r="2441">
      <c r="A2441" s="26" t="n"/>
      <c r="B2441" s="27" t="n"/>
      <c r="C2441" s="28" t="n"/>
      <c r="D2441" s="29" t="n"/>
      <c r="E2441" s="29" t="n"/>
      <c r="F2441" s="29" t="n"/>
      <c r="G2441" s="30" t="n"/>
      <c r="H2441" s="31">
        <f>IF(G2441="","",SUMIF(C$2:C2441,"Masuk",G$2:G2441)-SUMIF(C$2:C2441,"Keluar",G$2:G2441))</f>
        <v/>
      </c>
    </row>
    <row r="2442">
      <c r="A2442" s="22" t="n"/>
      <c r="B2442" s="23" t="n"/>
      <c r="C2442" s="24" t="n"/>
      <c r="D2442" s="17" t="n"/>
      <c r="E2442" s="17" t="n"/>
      <c r="F2442" s="17" t="n"/>
      <c r="G2442" s="15" t="n"/>
      <c r="H2442" s="25">
        <f>IF(G2442="","",SUMIF(C$2:C2442,"Masuk",G$2:G2442)-SUMIF(C$2:C2442,"Keluar",G$2:G2442))</f>
        <v/>
      </c>
    </row>
    <row r="2443">
      <c r="A2443" s="26" t="n"/>
      <c r="B2443" s="27" t="n"/>
      <c r="C2443" s="28" t="n"/>
      <c r="D2443" s="29" t="n"/>
      <c r="E2443" s="29" t="n"/>
      <c r="F2443" s="29" t="n"/>
      <c r="G2443" s="30" t="n"/>
      <c r="H2443" s="31">
        <f>IF(G2443="","",SUMIF(C$2:C2443,"Masuk",G$2:G2443)-SUMIF(C$2:C2443,"Keluar",G$2:G2443))</f>
        <v/>
      </c>
    </row>
    <row r="2444">
      <c r="A2444" s="22" t="n"/>
      <c r="B2444" s="23" t="n"/>
      <c r="C2444" s="24" t="n"/>
      <c r="D2444" s="17" t="n"/>
      <c r="E2444" s="17" t="n"/>
      <c r="F2444" s="17" t="n"/>
      <c r="G2444" s="15" t="n"/>
      <c r="H2444" s="25">
        <f>IF(G2444="","",SUMIF(C$2:C2444,"Masuk",G$2:G2444)-SUMIF(C$2:C2444,"Keluar",G$2:G2444))</f>
        <v/>
      </c>
    </row>
    <row r="2445">
      <c r="A2445" s="26" t="n"/>
      <c r="B2445" s="27" t="n"/>
      <c r="C2445" s="28" t="n"/>
      <c r="D2445" s="29" t="n"/>
      <c r="E2445" s="29" t="n"/>
      <c r="F2445" s="29" t="n"/>
      <c r="G2445" s="30" t="n"/>
      <c r="H2445" s="31">
        <f>IF(G2445="","",SUMIF(C$2:C2445,"Masuk",G$2:G2445)-SUMIF(C$2:C2445,"Keluar",G$2:G2445))</f>
        <v/>
      </c>
    </row>
    <row r="2446">
      <c r="A2446" s="22" t="n"/>
      <c r="B2446" s="23" t="n"/>
      <c r="C2446" s="24" t="n"/>
      <c r="D2446" s="17" t="n"/>
      <c r="E2446" s="17" t="n"/>
      <c r="F2446" s="17" t="n"/>
      <c r="G2446" s="15" t="n"/>
      <c r="H2446" s="25">
        <f>IF(G2446="","",SUMIF(C$2:C2446,"Masuk",G$2:G2446)-SUMIF(C$2:C2446,"Keluar",G$2:G2446))</f>
        <v/>
      </c>
    </row>
    <row r="2447">
      <c r="A2447" s="26" t="n"/>
      <c r="B2447" s="27" t="n"/>
      <c r="C2447" s="28" t="n"/>
      <c r="D2447" s="29" t="n"/>
      <c r="E2447" s="29" t="n"/>
      <c r="F2447" s="29" t="n"/>
      <c r="G2447" s="30" t="n"/>
      <c r="H2447" s="31">
        <f>IF(G2447="","",SUMIF(C$2:C2447,"Masuk",G$2:G2447)-SUMIF(C$2:C2447,"Keluar",G$2:G2447))</f>
        <v/>
      </c>
    </row>
    <row r="2448">
      <c r="A2448" s="22" t="n"/>
      <c r="B2448" s="23" t="n"/>
      <c r="C2448" s="24" t="n"/>
      <c r="D2448" s="17" t="n"/>
      <c r="E2448" s="17" t="n"/>
      <c r="F2448" s="17" t="n"/>
      <c r="G2448" s="15" t="n"/>
      <c r="H2448" s="25">
        <f>IF(G2448="","",SUMIF(C$2:C2448,"Masuk",G$2:G2448)-SUMIF(C$2:C2448,"Keluar",G$2:G2448))</f>
        <v/>
      </c>
    </row>
    <row r="2449">
      <c r="A2449" s="26" t="n"/>
      <c r="B2449" s="27" t="n"/>
      <c r="C2449" s="28" t="n"/>
      <c r="D2449" s="29" t="n"/>
      <c r="E2449" s="29" t="n"/>
      <c r="F2449" s="29" t="n"/>
      <c r="G2449" s="30" t="n"/>
      <c r="H2449" s="31">
        <f>IF(G2449="","",SUMIF(C$2:C2449,"Masuk",G$2:G2449)-SUMIF(C$2:C2449,"Keluar",G$2:G2449))</f>
        <v/>
      </c>
    </row>
    <row r="2450">
      <c r="A2450" s="22" t="n"/>
      <c r="B2450" s="23" t="n"/>
      <c r="C2450" s="24" t="n"/>
      <c r="D2450" s="17" t="n"/>
      <c r="E2450" s="17" t="n"/>
      <c r="F2450" s="17" t="n"/>
      <c r="G2450" s="15" t="n"/>
      <c r="H2450" s="25">
        <f>IF(G2450="","",SUMIF(C$2:C2450,"Masuk",G$2:G2450)-SUMIF(C$2:C2450,"Keluar",G$2:G2450))</f>
        <v/>
      </c>
    </row>
    <row r="2451">
      <c r="A2451" s="26" t="n"/>
      <c r="B2451" s="27" t="n"/>
      <c r="C2451" s="28" t="n"/>
      <c r="D2451" s="29" t="n"/>
      <c r="E2451" s="29" t="n"/>
      <c r="F2451" s="29" t="n"/>
      <c r="G2451" s="30" t="n"/>
      <c r="H2451" s="31">
        <f>IF(G2451="","",SUMIF(C$2:C2451,"Masuk",G$2:G2451)-SUMIF(C$2:C2451,"Keluar",G$2:G2451))</f>
        <v/>
      </c>
    </row>
    <row r="2452">
      <c r="A2452" s="22" t="n"/>
      <c r="B2452" s="23" t="n"/>
      <c r="C2452" s="24" t="n"/>
      <c r="D2452" s="17" t="n"/>
      <c r="E2452" s="17" t="n"/>
      <c r="F2452" s="17" t="n"/>
      <c r="G2452" s="15" t="n"/>
      <c r="H2452" s="25">
        <f>IF(G2452="","",SUMIF(C$2:C2452,"Masuk",G$2:G2452)-SUMIF(C$2:C2452,"Keluar",G$2:G2452))</f>
        <v/>
      </c>
    </row>
    <row r="2453">
      <c r="A2453" s="26" t="n"/>
      <c r="B2453" s="27" t="n"/>
      <c r="C2453" s="28" t="n"/>
      <c r="D2453" s="29" t="n"/>
      <c r="E2453" s="29" t="n"/>
      <c r="F2453" s="29" t="n"/>
      <c r="G2453" s="30" t="n"/>
      <c r="H2453" s="31">
        <f>IF(G2453="","",SUMIF(C$2:C2453,"Masuk",G$2:G2453)-SUMIF(C$2:C2453,"Keluar",G$2:G2453))</f>
        <v/>
      </c>
    </row>
    <row r="2454">
      <c r="A2454" s="22" t="n"/>
      <c r="B2454" s="23" t="n"/>
      <c r="C2454" s="24" t="n"/>
      <c r="D2454" s="17" t="n"/>
      <c r="E2454" s="17" t="n"/>
      <c r="F2454" s="17" t="n"/>
      <c r="G2454" s="15" t="n"/>
      <c r="H2454" s="25">
        <f>IF(G2454="","",SUMIF(C$2:C2454,"Masuk",G$2:G2454)-SUMIF(C$2:C2454,"Keluar",G$2:G2454))</f>
        <v/>
      </c>
    </row>
    <row r="2455">
      <c r="A2455" s="26" t="n"/>
      <c r="B2455" s="27" t="n"/>
      <c r="C2455" s="28" t="n"/>
      <c r="D2455" s="29" t="n"/>
      <c r="E2455" s="29" t="n"/>
      <c r="F2455" s="29" t="n"/>
      <c r="G2455" s="30" t="n"/>
      <c r="H2455" s="31">
        <f>IF(G2455="","",SUMIF(C$2:C2455,"Masuk",G$2:G2455)-SUMIF(C$2:C2455,"Keluar",G$2:G2455))</f>
        <v/>
      </c>
    </row>
    <row r="2456">
      <c r="A2456" s="22" t="n"/>
      <c r="B2456" s="23" t="n"/>
      <c r="C2456" s="24" t="n"/>
      <c r="D2456" s="17" t="n"/>
      <c r="E2456" s="17" t="n"/>
      <c r="F2456" s="17" t="n"/>
      <c r="G2456" s="15" t="n"/>
      <c r="H2456" s="25">
        <f>IF(G2456="","",SUMIF(C$2:C2456,"Masuk",G$2:G2456)-SUMIF(C$2:C2456,"Keluar",G$2:G2456))</f>
        <v/>
      </c>
    </row>
    <row r="2457">
      <c r="A2457" s="26" t="n"/>
      <c r="B2457" s="27" t="n"/>
      <c r="C2457" s="28" t="n"/>
      <c r="D2457" s="29" t="n"/>
      <c r="E2457" s="29" t="n"/>
      <c r="F2457" s="29" t="n"/>
      <c r="G2457" s="30" t="n"/>
      <c r="H2457" s="31">
        <f>IF(G2457="","",SUMIF(C$2:C2457,"Masuk",G$2:G2457)-SUMIF(C$2:C2457,"Keluar",G$2:G2457))</f>
        <v/>
      </c>
    </row>
    <row r="2458">
      <c r="A2458" s="22" t="n"/>
      <c r="B2458" s="23" t="n"/>
      <c r="C2458" s="24" t="n"/>
      <c r="D2458" s="17" t="n"/>
      <c r="E2458" s="17" t="n"/>
      <c r="F2458" s="17" t="n"/>
      <c r="G2458" s="15" t="n"/>
      <c r="H2458" s="25">
        <f>IF(G2458="","",SUMIF(C$2:C2458,"Masuk",G$2:G2458)-SUMIF(C$2:C2458,"Keluar",G$2:G2458))</f>
        <v/>
      </c>
    </row>
    <row r="2459">
      <c r="A2459" s="26" t="n"/>
      <c r="B2459" s="27" t="n"/>
      <c r="C2459" s="28" t="n"/>
      <c r="D2459" s="29" t="n"/>
      <c r="E2459" s="29" t="n"/>
      <c r="F2459" s="29" t="n"/>
      <c r="G2459" s="30" t="n"/>
      <c r="H2459" s="31">
        <f>IF(G2459="","",SUMIF(C$2:C2459,"Masuk",G$2:G2459)-SUMIF(C$2:C2459,"Keluar",G$2:G2459))</f>
        <v/>
      </c>
    </row>
    <row r="2460">
      <c r="A2460" s="22" t="n"/>
      <c r="B2460" s="23" t="n"/>
      <c r="C2460" s="24" t="n"/>
      <c r="D2460" s="17" t="n"/>
      <c r="E2460" s="17" t="n"/>
      <c r="F2460" s="17" t="n"/>
      <c r="G2460" s="15" t="n"/>
      <c r="H2460" s="25">
        <f>IF(G2460="","",SUMIF(C$2:C2460,"Masuk",G$2:G2460)-SUMIF(C$2:C2460,"Keluar",G$2:G2460))</f>
        <v/>
      </c>
    </row>
    <row r="2461">
      <c r="A2461" s="26" t="n"/>
      <c r="B2461" s="27" t="n"/>
      <c r="C2461" s="28" t="n"/>
      <c r="D2461" s="29" t="n"/>
      <c r="E2461" s="29" t="n"/>
      <c r="F2461" s="29" t="n"/>
      <c r="G2461" s="30" t="n"/>
      <c r="H2461" s="31">
        <f>IF(G2461="","",SUMIF(C$2:C2461,"Masuk",G$2:G2461)-SUMIF(C$2:C2461,"Keluar",G$2:G2461))</f>
        <v/>
      </c>
    </row>
    <row r="2462">
      <c r="A2462" s="22" t="n"/>
      <c r="B2462" s="23" t="n"/>
      <c r="C2462" s="24" t="n"/>
      <c r="D2462" s="17" t="n"/>
      <c r="E2462" s="17" t="n"/>
      <c r="F2462" s="17" t="n"/>
      <c r="G2462" s="15" t="n"/>
      <c r="H2462" s="25">
        <f>IF(G2462="","",SUMIF(C$2:C2462,"Masuk",G$2:G2462)-SUMIF(C$2:C2462,"Keluar",G$2:G2462))</f>
        <v/>
      </c>
    </row>
    <row r="2463">
      <c r="A2463" s="26" t="n"/>
      <c r="B2463" s="27" t="n"/>
      <c r="C2463" s="28" t="n"/>
      <c r="D2463" s="29" t="n"/>
      <c r="E2463" s="29" t="n"/>
      <c r="F2463" s="29" t="n"/>
      <c r="G2463" s="30" t="n"/>
      <c r="H2463" s="31">
        <f>IF(G2463="","",SUMIF(C$2:C2463,"Masuk",G$2:G2463)-SUMIF(C$2:C2463,"Keluar",G$2:G2463))</f>
        <v/>
      </c>
    </row>
    <row r="2464">
      <c r="A2464" s="22" t="n"/>
      <c r="B2464" s="23" t="n"/>
      <c r="C2464" s="24" t="n"/>
      <c r="D2464" s="17" t="n"/>
      <c r="E2464" s="17" t="n"/>
      <c r="F2464" s="17" t="n"/>
      <c r="G2464" s="15" t="n"/>
      <c r="H2464" s="25">
        <f>IF(G2464="","",SUMIF(C$2:C2464,"Masuk",G$2:G2464)-SUMIF(C$2:C2464,"Keluar",G$2:G2464))</f>
        <v/>
      </c>
    </row>
    <row r="2465">
      <c r="A2465" s="26" t="n"/>
      <c r="B2465" s="27" t="n"/>
      <c r="C2465" s="28" t="n"/>
      <c r="D2465" s="29" t="n"/>
      <c r="E2465" s="29" t="n"/>
      <c r="F2465" s="29" t="n"/>
      <c r="G2465" s="30" t="n"/>
      <c r="H2465" s="31">
        <f>IF(G2465="","",SUMIF(C$2:C2465,"Masuk",G$2:G2465)-SUMIF(C$2:C2465,"Keluar",G$2:G2465))</f>
        <v/>
      </c>
    </row>
    <row r="2466">
      <c r="A2466" s="22" t="n"/>
      <c r="B2466" s="23" t="n"/>
      <c r="C2466" s="24" t="n"/>
      <c r="D2466" s="17" t="n"/>
      <c r="E2466" s="17" t="n"/>
      <c r="F2466" s="17" t="n"/>
      <c r="G2466" s="15" t="n"/>
      <c r="H2466" s="25">
        <f>IF(G2466="","",SUMIF(C$2:C2466,"Masuk",G$2:G2466)-SUMIF(C$2:C2466,"Keluar",G$2:G2466))</f>
        <v/>
      </c>
    </row>
    <row r="2467">
      <c r="A2467" s="26" t="n"/>
      <c r="B2467" s="27" t="n"/>
      <c r="C2467" s="28" t="n"/>
      <c r="D2467" s="29" t="n"/>
      <c r="E2467" s="29" t="n"/>
      <c r="F2467" s="29" t="n"/>
      <c r="G2467" s="30" t="n"/>
      <c r="H2467" s="31">
        <f>IF(G2467="","",SUMIF(C$2:C2467,"Masuk",G$2:G2467)-SUMIF(C$2:C2467,"Keluar",G$2:G2467))</f>
        <v/>
      </c>
    </row>
    <row r="2468">
      <c r="A2468" s="22" t="n"/>
      <c r="B2468" s="23" t="n"/>
      <c r="C2468" s="24" t="n"/>
      <c r="D2468" s="17" t="n"/>
      <c r="E2468" s="17" t="n"/>
      <c r="F2468" s="17" t="n"/>
      <c r="G2468" s="15" t="n"/>
      <c r="H2468" s="25">
        <f>IF(G2468="","",SUMIF(C$2:C2468,"Masuk",G$2:G2468)-SUMIF(C$2:C2468,"Keluar",G$2:G2468))</f>
        <v/>
      </c>
    </row>
    <row r="2469">
      <c r="A2469" s="26" t="n"/>
      <c r="B2469" s="27" t="n"/>
      <c r="C2469" s="28" t="n"/>
      <c r="D2469" s="29" t="n"/>
      <c r="E2469" s="29" t="n"/>
      <c r="F2469" s="29" t="n"/>
      <c r="G2469" s="30" t="n"/>
      <c r="H2469" s="31">
        <f>IF(G2469="","",SUMIF(C$2:C2469,"Masuk",G$2:G2469)-SUMIF(C$2:C2469,"Keluar",G$2:G2469))</f>
        <v/>
      </c>
    </row>
    <row r="2470">
      <c r="A2470" s="22" t="n"/>
      <c r="B2470" s="23" t="n"/>
      <c r="C2470" s="24" t="n"/>
      <c r="D2470" s="17" t="n"/>
      <c r="E2470" s="17" t="n"/>
      <c r="F2470" s="17" t="n"/>
      <c r="G2470" s="15" t="n"/>
      <c r="H2470" s="25">
        <f>IF(G2470="","",SUMIF(C$2:C2470,"Masuk",G$2:G2470)-SUMIF(C$2:C2470,"Keluar",G$2:G2470))</f>
        <v/>
      </c>
    </row>
    <row r="2471">
      <c r="A2471" s="26" t="n"/>
      <c r="B2471" s="27" t="n"/>
      <c r="C2471" s="28" t="n"/>
      <c r="D2471" s="29" t="n"/>
      <c r="E2471" s="29" t="n"/>
      <c r="F2471" s="29" t="n"/>
      <c r="G2471" s="30" t="n"/>
      <c r="H2471" s="31">
        <f>IF(G2471="","",SUMIF(C$2:C2471,"Masuk",G$2:G2471)-SUMIF(C$2:C2471,"Keluar",G$2:G2471))</f>
        <v/>
      </c>
    </row>
    <row r="2472">
      <c r="A2472" s="22" t="n"/>
      <c r="B2472" s="23" t="n"/>
      <c r="C2472" s="24" t="n"/>
      <c r="D2472" s="17" t="n"/>
      <c r="E2472" s="17" t="n"/>
      <c r="F2472" s="17" t="n"/>
      <c r="G2472" s="15" t="n"/>
      <c r="H2472" s="25">
        <f>IF(G2472="","",SUMIF(C$2:C2472,"Masuk",G$2:G2472)-SUMIF(C$2:C2472,"Keluar",G$2:G2472))</f>
        <v/>
      </c>
    </row>
    <row r="2473">
      <c r="A2473" s="26" t="n"/>
      <c r="B2473" s="27" t="n"/>
      <c r="C2473" s="28" t="n"/>
      <c r="D2473" s="29" t="n"/>
      <c r="E2473" s="29" t="n"/>
      <c r="F2473" s="29" t="n"/>
      <c r="G2473" s="30" t="n"/>
      <c r="H2473" s="31">
        <f>IF(G2473="","",SUMIF(C$2:C2473,"Masuk",G$2:G2473)-SUMIF(C$2:C2473,"Keluar",G$2:G2473))</f>
        <v/>
      </c>
    </row>
    <row r="2474">
      <c r="A2474" s="22" t="n"/>
      <c r="B2474" s="23" t="n"/>
      <c r="C2474" s="24" t="n"/>
      <c r="D2474" s="17" t="n"/>
      <c r="E2474" s="17" t="n"/>
      <c r="F2474" s="17" t="n"/>
      <c r="G2474" s="15" t="n"/>
      <c r="H2474" s="25">
        <f>IF(G2474="","",SUMIF(C$2:C2474,"Masuk",G$2:G2474)-SUMIF(C$2:C2474,"Keluar",G$2:G2474))</f>
        <v/>
      </c>
    </row>
    <row r="2475">
      <c r="A2475" s="26" t="n"/>
      <c r="B2475" s="27" t="n"/>
      <c r="C2475" s="28" t="n"/>
      <c r="D2475" s="29" t="n"/>
      <c r="E2475" s="29" t="n"/>
      <c r="F2475" s="29" t="n"/>
      <c r="G2475" s="30" t="n"/>
      <c r="H2475" s="31">
        <f>IF(G2475="","",SUMIF(C$2:C2475,"Masuk",G$2:G2475)-SUMIF(C$2:C2475,"Keluar",G$2:G2475))</f>
        <v/>
      </c>
    </row>
    <row r="2476">
      <c r="A2476" s="22" t="n"/>
      <c r="B2476" s="23" t="n"/>
      <c r="C2476" s="24" t="n"/>
      <c r="D2476" s="17" t="n"/>
      <c r="E2476" s="17" t="n"/>
      <c r="F2476" s="17" t="n"/>
      <c r="G2476" s="15" t="n"/>
      <c r="H2476" s="25">
        <f>IF(G2476="","",SUMIF(C$2:C2476,"Masuk",G$2:G2476)-SUMIF(C$2:C2476,"Keluar",G$2:G2476))</f>
        <v/>
      </c>
    </row>
    <row r="2477">
      <c r="A2477" s="26" t="n"/>
      <c r="B2477" s="27" t="n"/>
      <c r="C2477" s="28" t="n"/>
      <c r="D2477" s="29" t="n"/>
      <c r="E2477" s="29" t="n"/>
      <c r="F2477" s="29" t="n"/>
      <c r="G2477" s="30" t="n"/>
      <c r="H2477" s="31">
        <f>IF(G2477="","",SUMIF(C$2:C2477,"Masuk",G$2:G2477)-SUMIF(C$2:C2477,"Keluar",G$2:G2477))</f>
        <v/>
      </c>
    </row>
    <row r="2478">
      <c r="A2478" s="22" t="n"/>
      <c r="B2478" s="23" t="n"/>
      <c r="C2478" s="24" t="n"/>
      <c r="D2478" s="17" t="n"/>
      <c r="E2478" s="17" t="n"/>
      <c r="F2478" s="17" t="n"/>
      <c r="G2478" s="15" t="n"/>
      <c r="H2478" s="25">
        <f>IF(G2478="","",SUMIF(C$2:C2478,"Masuk",G$2:G2478)-SUMIF(C$2:C2478,"Keluar",G$2:G2478))</f>
        <v/>
      </c>
    </row>
    <row r="2479">
      <c r="A2479" s="26" t="n"/>
      <c r="B2479" s="27" t="n"/>
      <c r="C2479" s="28" t="n"/>
      <c r="D2479" s="29" t="n"/>
      <c r="E2479" s="29" t="n"/>
      <c r="F2479" s="29" t="n"/>
      <c r="G2479" s="30" t="n"/>
      <c r="H2479" s="31">
        <f>IF(G2479="","",SUMIF(C$2:C2479,"Masuk",G$2:G2479)-SUMIF(C$2:C2479,"Keluar",G$2:G2479))</f>
        <v/>
      </c>
    </row>
    <row r="2480">
      <c r="A2480" s="22" t="n"/>
      <c r="B2480" s="23" t="n"/>
      <c r="C2480" s="24" t="n"/>
      <c r="D2480" s="17" t="n"/>
      <c r="E2480" s="17" t="n"/>
      <c r="F2480" s="17" t="n"/>
      <c r="G2480" s="15" t="n"/>
      <c r="H2480" s="25">
        <f>IF(G2480="","",SUMIF(C$2:C2480,"Masuk",G$2:G2480)-SUMIF(C$2:C2480,"Keluar",G$2:G2480))</f>
        <v/>
      </c>
    </row>
    <row r="2481">
      <c r="A2481" s="26" t="n"/>
      <c r="B2481" s="27" t="n"/>
      <c r="C2481" s="28" t="n"/>
      <c r="D2481" s="29" t="n"/>
      <c r="E2481" s="29" t="n"/>
      <c r="F2481" s="29" t="n"/>
      <c r="G2481" s="30" t="n"/>
      <c r="H2481" s="31">
        <f>IF(G2481="","",SUMIF(C$2:C2481,"Masuk",G$2:G2481)-SUMIF(C$2:C2481,"Keluar",G$2:G2481))</f>
        <v/>
      </c>
    </row>
    <row r="2482">
      <c r="A2482" s="22" t="n"/>
      <c r="B2482" s="23" t="n"/>
      <c r="C2482" s="24" t="n"/>
      <c r="D2482" s="17" t="n"/>
      <c r="E2482" s="17" t="n"/>
      <c r="F2482" s="17" t="n"/>
      <c r="G2482" s="15" t="n"/>
      <c r="H2482" s="25">
        <f>IF(G2482="","",SUMIF(C$2:C2482,"Masuk",G$2:G2482)-SUMIF(C$2:C2482,"Keluar",G$2:G2482))</f>
        <v/>
      </c>
    </row>
    <row r="2483">
      <c r="A2483" s="26" t="n"/>
      <c r="B2483" s="27" t="n"/>
      <c r="C2483" s="28" t="n"/>
      <c r="D2483" s="29" t="n"/>
      <c r="E2483" s="29" t="n"/>
      <c r="F2483" s="29" t="n"/>
      <c r="G2483" s="30" t="n"/>
      <c r="H2483" s="31">
        <f>IF(G2483="","",SUMIF(C$2:C2483,"Masuk",G$2:G2483)-SUMIF(C$2:C2483,"Keluar",G$2:G2483))</f>
        <v/>
      </c>
    </row>
    <row r="2484">
      <c r="A2484" s="22" t="n"/>
      <c r="B2484" s="23" t="n"/>
      <c r="C2484" s="24" t="n"/>
      <c r="D2484" s="17" t="n"/>
      <c r="E2484" s="17" t="n"/>
      <c r="F2484" s="17" t="n"/>
      <c r="G2484" s="15" t="n"/>
      <c r="H2484" s="25">
        <f>IF(G2484="","",SUMIF(C$2:C2484,"Masuk",G$2:G2484)-SUMIF(C$2:C2484,"Keluar",G$2:G2484))</f>
        <v/>
      </c>
    </row>
    <row r="2485">
      <c r="A2485" s="26" t="n"/>
      <c r="B2485" s="27" t="n"/>
      <c r="C2485" s="28" t="n"/>
      <c r="D2485" s="29" t="n"/>
      <c r="E2485" s="29" t="n"/>
      <c r="F2485" s="29" t="n"/>
      <c r="G2485" s="30" t="n"/>
      <c r="H2485" s="31">
        <f>IF(G2485="","",SUMIF(C$2:C2485,"Masuk",G$2:G2485)-SUMIF(C$2:C2485,"Keluar",G$2:G2485))</f>
        <v/>
      </c>
    </row>
    <row r="2486">
      <c r="A2486" s="22" t="n"/>
      <c r="B2486" s="23" t="n"/>
      <c r="C2486" s="24" t="n"/>
      <c r="D2486" s="17" t="n"/>
      <c r="E2486" s="17" t="n"/>
      <c r="F2486" s="17" t="n"/>
      <c r="G2486" s="15" t="n"/>
      <c r="H2486" s="25">
        <f>IF(G2486="","",SUMIF(C$2:C2486,"Masuk",G$2:G2486)-SUMIF(C$2:C2486,"Keluar",G$2:G2486))</f>
        <v/>
      </c>
    </row>
    <row r="2487">
      <c r="A2487" s="26" t="n"/>
      <c r="B2487" s="27" t="n"/>
      <c r="C2487" s="28" t="n"/>
      <c r="D2487" s="29" t="n"/>
      <c r="E2487" s="29" t="n"/>
      <c r="F2487" s="29" t="n"/>
      <c r="G2487" s="30" t="n"/>
      <c r="H2487" s="31">
        <f>IF(G2487="","",SUMIF(C$2:C2487,"Masuk",G$2:G2487)-SUMIF(C$2:C2487,"Keluar",G$2:G2487))</f>
        <v/>
      </c>
    </row>
    <row r="2488">
      <c r="A2488" s="22" t="n"/>
      <c r="B2488" s="23" t="n"/>
      <c r="C2488" s="24" t="n"/>
      <c r="D2488" s="17" t="n"/>
      <c r="E2488" s="17" t="n"/>
      <c r="F2488" s="17" t="n"/>
      <c r="G2488" s="15" t="n"/>
      <c r="H2488" s="25">
        <f>IF(G2488="","",SUMIF(C$2:C2488,"Masuk",G$2:G2488)-SUMIF(C$2:C2488,"Keluar",G$2:G2488))</f>
        <v/>
      </c>
    </row>
    <row r="2489">
      <c r="A2489" s="26" t="n"/>
      <c r="B2489" s="27" t="n"/>
      <c r="C2489" s="28" t="n"/>
      <c r="D2489" s="29" t="n"/>
      <c r="E2489" s="29" t="n"/>
      <c r="F2489" s="29" t="n"/>
      <c r="G2489" s="30" t="n"/>
      <c r="H2489" s="31">
        <f>IF(G2489="","",SUMIF(C$2:C2489,"Masuk",G$2:G2489)-SUMIF(C$2:C2489,"Keluar",G$2:G2489))</f>
        <v/>
      </c>
    </row>
    <row r="2490">
      <c r="A2490" s="22" t="n"/>
      <c r="B2490" s="23" t="n"/>
      <c r="C2490" s="24" t="n"/>
      <c r="D2490" s="17" t="n"/>
      <c r="E2490" s="17" t="n"/>
      <c r="F2490" s="17" t="n"/>
      <c r="G2490" s="15" t="n"/>
      <c r="H2490" s="25">
        <f>IF(G2490="","",SUMIF(C$2:C2490,"Masuk",G$2:G2490)-SUMIF(C$2:C2490,"Keluar",G$2:G2490))</f>
        <v/>
      </c>
    </row>
    <row r="2491">
      <c r="A2491" s="26" t="n"/>
      <c r="B2491" s="27" t="n"/>
      <c r="C2491" s="28" t="n"/>
      <c r="D2491" s="29" t="n"/>
      <c r="E2491" s="29" t="n"/>
      <c r="F2491" s="29" t="n"/>
      <c r="G2491" s="30" t="n"/>
      <c r="H2491" s="31">
        <f>IF(G2491="","",SUMIF(C$2:C2491,"Masuk",G$2:G2491)-SUMIF(C$2:C2491,"Keluar",G$2:G2491))</f>
        <v/>
      </c>
    </row>
    <row r="2492">
      <c r="A2492" s="22" t="n"/>
      <c r="B2492" s="23" t="n"/>
      <c r="C2492" s="24" t="n"/>
      <c r="D2492" s="17" t="n"/>
      <c r="E2492" s="17" t="n"/>
      <c r="F2492" s="17" t="n"/>
      <c r="G2492" s="15" t="n"/>
      <c r="H2492" s="25">
        <f>IF(G2492="","",SUMIF(C$2:C2492,"Masuk",G$2:G2492)-SUMIF(C$2:C2492,"Keluar",G$2:G2492))</f>
        <v/>
      </c>
    </row>
    <row r="2493">
      <c r="A2493" s="26" t="n"/>
      <c r="B2493" s="27" t="n"/>
      <c r="C2493" s="28" t="n"/>
      <c r="D2493" s="29" t="n"/>
      <c r="E2493" s="29" t="n"/>
      <c r="F2493" s="29" t="n"/>
      <c r="G2493" s="30" t="n"/>
      <c r="H2493" s="31">
        <f>IF(G2493="","",SUMIF(C$2:C2493,"Masuk",G$2:G2493)-SUMIF(C$2:C2493,"Keluar",G$2:G2493))</f>
        <v/>
      </c>
    </row>
    <row r="2494">
      <c r="A2494" s="22" t="n"/>
      <c r="B2494" s="23" t="n"/>
      <c r="C2494" s="24" t="n"/>
      <c r="D2494" s="17" t="n"/>
      <c r="E2494" s="17" t="n"/>
      <c r="F2494" s="17" t="n"/>
      <c r="G2494" s="15" t="n"/>
      <c r="H2494" s="25">
        <f>IF(G2494="","",SUMIF(C$2:C2494,"Masuk",G$2:G2494)-SUMIF(C$2:C2494,"Keluar",G$2:G2494))</f>
        <v/>
      </c>
    </row>
    <row r="2495">
      <c r="A2495" s="26" t="n"/>
      <c r="B2495" s="27" t="n"/>
      <c r="C2495" s="28" t="n"/>
      <c r="D2495" s="29" t="n"/>
      <c r="E2495" s="29" t="n"/>
      <c r="F2495" s="29" t="n"/>
      <c r="G2495" s="30" t="n"/>
      <c r="H2495" s="31">
        <f>IF(G2495="","",SUMIF(C$2:C2495,"Masuk",G$2:G2495)-SUMIF(C$2:C2495,"Keluar",G$2:G2495))</f>
        <v/>
      </c>
    </row>
    <row r="2496">
      <c r="A2496" s="22" t="n"/>
      <c r="B2496" s="23" t="n"/>
      <c r="C2496" s="24" t="n"/>
      <c r="D2496" s="17" t="n"/>
      <c r="E2496" s="17" t="n"/>
      <c r="F2496" s="17" t="n"/>
      <c r="G2496" s="15" t="n"/>
      <c r="H2496" s="25">
        <f>IF(G2496="","",SUMIF(C$2:C2496,"Masuk",G$2:G2496)-SUMIF(C$2:C2496,"Keluar",G$2:G2496))</f>
        <v/>
      </c>
    </row>
    <row r="2497">
      <c r="A2497" s="26" t="n"/>
      <c r="B2497" s="27" t="n"/>
      <c r="C2497" s="28" t="n"/>
      <c r="D2497" s="29" t="n"/>
      <c r="E2497" s="29" t="n"/>
      <c r="F2497" s="29" t="n"/>
      <c r="G2497" s="30" t="n"/>
      <c r="H2497" s="31">
        <f>IF(G2497="","",SUMIF(C$2:C2497,"Masuk",G$2:G2497)-SUMIF(C$2:C2497,"Keluar",G$2:G2497))</f>
        <v/>
      </c>
    </row>
    <row r="2498">
      <c r="A2498" s="22" t="n"/>
      <c r="B2498" s="23" t="n"/>
      <c r="C2498" s="24" t="n"/>
      <c r="D2498" s="17" t="n"/>
      <c r="E2498" s="17" t="n"/>
      <c r="F2498" s="17" t="n"/>
      <c r="G2498" s="15" t="n"/>
      <c r="H2498" s="25">
        <f>IF(G2498="","",SUMIF(C$2:C2498,"Masuk",G$2:G2498)-SUMIF(C$2:C2498,"Keluar",G$2:G2498))</f>
        <v/>
      </c>
    </row>
    <row r="2499">
      <c r="A2499" s="26" t="n"/>
      <c r="B2499" s="27" t="n"/>
      <c r="C2499" s="28" t="n"/>
      <c r="D2499" s="29" t="n"/>
      <c r="E2499" s="29" t="n"/>
      <c r="F2499" s="29" t="n"/>
      <c r="G2499" s="30" t="n"/>
      <c r="H2499" s="31">
        <f>IF(G2499="","",SUMIF(C$2:C2499,"Masuk",G$2:G2499)-SUMIF(C$2:C2499,"Keluar",G$2:G2499))</f>
        <v/>
      </c>
    </row>
    <row r="2500">
      <c r="A2500" s="22" t="n"/>
      <c r="B2500" s="23" t="n"/>
      <c r="C2500" s="24" t="n"/>
      <c r="D2500" s="17" t="n"/>
      <c r="E2500" s="17" t="n"/>
      <c r="F2500" s="17" t="n"/>
      <c r="G2500" s="15" t="n"/>
      <c r="H2500" s="25">
        <f>IF(G2500="","",SUMIF(C$2:C2500,"Masuk",G$2:G2500)-SUMIF(C$2:C2500,"Keluar",G$2:G2500))</f>
        <v/>
      </c>
    </row>
    <row r="2501">
      <c r="A2501" s="26" t="n"/>
      <c r="B2501" s="27" t="n"/>
      <c r="C2501" s="28" t="n"/>
      <c r="D2501" s="29" t="n"/>
      <c r="E2501" s="29" t="n"/>
      <c r="F2501" s="29" t="n"/>
      <c r="G2501" s="30" t="n"/>
      <c r="H2501" s="31">
        <f>IF(G2501="","",SUMIF(C$2:C2501,"Masuk",G$2:G2501)-SUMIF(C$2:C2501,"Keluar",G$2:G2501))</f>
        <v/>
      </c>
    </row>
    <row r="2502">
      <c r="A2502" s="22" t="n"/>
      <c r="B2502" s="23" t="n"/>
      <c r="C2502" s="24" t="n"/>
      <c r="D2502" s="17" t="n"/>
      <c r="E2502" s="17" t="n"/>
      <c r="F2502" s="17" t="n"/>
      <c r="G2502" s="15" t="n"/>
      <c r="H2502" s="25">
        <f>IF(G2502="","",SUMIF(C$2:C2502,"Masuk",G$2:G2502)-SUMIF(C$2:C2502,"Keluar",G$2:G2502))</f>
        <v/>
      </c>
    </row>
    <row r="2503">
      <c r="A2503" s="26" t="n"/>
      <c r="B2503" s="27" t="n"/>
      <c r="C2503" s="28" t="n"/>
      <c r="D2503" s="29" t="n"/>
      <c r="E2503" s="29" t="n"/>
      <c r="F2503" s="29" t="n"/>
      <c r="G2503" s="30" t="n"/>
      <c r="H2503" s="31">
        <f>IF(G2503="","",SUMIF(C$2:C2503,"Masuk",G$2:G2503)-SUMIF(C$2:C2503,"Keluar",G$2:G2503))</f>
        <v/>
      </c>
    </row>
    <row r="2504">
      <c r="A2504" s="22" t="n"/>
      <c r="B2504" s="23" t="n"/>
      <c r="C2504" s="24" t="n"/>
      <c r="D2504" s="17" t="n"/>
      <c r="E2504" s="17" t="n"/>
      <c r="F2504" s="17" t="n"/>
      <c r="G2504" s="15" t="n"/>
      <c r="H2504" s="25">
        <f>IF(G2504="","",SUMIF(C$2:C2504,"Masuk",G$2:G2504)-SUMIF(C$2:C2504,"Keluar",G$2:G2504))</f>
        <v/>
      </c>
    </row>
    <row r="2505">
      <c r="A2505" s="26" t="n"/>
      <c r="B2505" s="27" t="n"/>
      <c r="C2505" s="28" t="n"/>
      <c r="D2505" s="29" t="n"/>
      <c r="E2505" s="29" t="n"/>
      <c r="F2505" s="29" t="n"/>
      <c r="G2505" s="30" t="n"/>
      <c r="H2505" s="31">
        <f>IF(G2505="","",SUMIF(C$2:C2505,"Masuk",G$2:G2505)-SUMIF(C$2:C2505,"Keluar",G$2:G2505))</f>
        <v/>
      </c>
    </row>
    <row r="2506">
      <c r="A2506" s="22" t="n"/>
      <c r="B2506" s="23" t="n"/>
      <c r="C2506" s="24" t="n"/>
      <c r="D2506" s="17" t="n"/>
      <c r="E2506" s="17" t="n"/>
      <c r="F2506" s="17" t="n"/>
      <c r="G2506" s="15" t="n"/>
      <c r="H2506" s="25">
        <f>IF(G2506="","",SUMIF(C$2:C2506,"Masuk",G$2:G2506)-SUMIF(C$2:C2506,"Keluar",G$2:G2506))</f>
        <v/>
      </c>
    </row>
    <row r="2507">
      <c r="A2507" s="26" t="n"/>
      <c r="B2507" s="27" t="n"/>
      <c r="C2507" s="28" t="n"/>
      <c r="D2507" s="29" t="n"/>
      <c r="E2507" s="29" t="n"/>
      <c r="F2507" s="29" t="n"/>
      <c r="G2507" s="30" t="n"/>
      <c r="H2507" s="31">
        <f>IF(G2507="","",SUMIF(C$2:C2507,"Masuk",G$2:G2507)-SUMIF(C$2:C2507,"Keluar",G$2:G2507))</f>
        <v/>
      </c>
    </row>
    <row r="2508">
      <c r="A2508" s="22" t="n"/>
      <c r="B2508" s="23" t="n"/>
      <c r="C2508" s="24" t="n"/>
      <c r="D2508" s="17" t="n"/>
      <c r="E2508" s="17" t="n"/>
      <c r="F2508" s="17" t="n"/>
      <c r="G2508" s="15" t="n"/>
      <c r="H2508" s="25">
        <f>IF(G2508="","",SUMIF(C$2:C2508,"Masuk",G$2:G2508)-SUMIF(C$2:C2508,"Keluar",G$2:G2508))</f>
        <v/>
      </c>
    </row>
    <row r="2509">
      <c r="A2509" s="26" t="n"/>
      <c r="B2509" s="27" t="n"/>
      <c r="C2509" s="28" t="n"/>
      <c r="D2509" s="29" t="n"/>
      <c r="E2509" s="29" t="n"/>
      <c r="F2509" s="29" t="n"/>
      <c r="G2509" s="30" t="n"/>
      <c r="H2509" s="31">
        <f>IF(G2509="","",SUMIF(C$2:C2509,"Masuk",G$2:G2509)-SUMIF(C$2:C2509,"Keluar",G$2:G2509))</f>
        <v/>
      </c>
    </row>
    <row r="2510">
      <c r="A2510" s="22" t="n"/>
      <c r="B2510" s="23" t="n"/>
      <c r="C2510" s="24" t="n"/>
      <c r="D2510" s="17" t="n"/>
      <c r="E2510" s="17" t="n"/>
      <c r="F2510" s="17" t="n"/>
      <c r="G2510" s="15" t="n"/>
      <c r="H2510" s="25">
        <f>IF(G2510="","",SUMIF(C$2:C2510,"Masuk",G$2:G2510)-SUMIF(C$2:C2510,"Keluar",G$2:G2510))</f>
        <v/>
      </c>
    </row>
    <row r="2511">
      <c r="A2511" s="26" t="n"/>
      <c r="B2511" s="27" t="n"/>
      <c r="C2511" s="28" t="n"/>
      <c r="D2511" s="29" t="n"/>
      <c r="E2511" s="29" t="n"/>
      <c r="F2511" s="29" t="n"/>
      <c r="G2511" s="30" t="n"/>
      <c r="H2511" s="31">
        <f>IF(G2511="","",SUMIF(C$2:C2511,"Masuk",G$2:G2511)-SUMIF(C$2:C2511,"Keluar",G$2:G2511))</f>
        <v/>
      </c>
    </row>
    <row r="2512">
      <c r="A2512" s="22" t="n"/>
      <c r="B2512" s="23" t="n"/>
      <c r="C2512" s="24" t="n"/>
      <c r="D2512" s="17" t="n"/>
      <c r="E2512" s="17" t="n"/>
      <c r="F2512" s="17" t="n"/>
      <c r="G2512" s="15" t="n"/>
      <c r="H2512" s="25">
        <f>IF(G2512="","",SUMIF(C$2:C2512,"Masuk",G$2:G2512)-SUMIF(C$2:C2512,"Keluar",G$2:G2512))</f>
        <v/>
      </c>
    </row>
    <row r="2513">
      <c r="A2513" s="26" t="n"/>
      <c r="B2513" s="27" t="n"/>
      <c r="C2513" s="28" t="n"/>
      <c r="D2513" s="29" t="n"/>
      <c r="E2513" s="29" t="n"/>
      <c r="F2513" s="29" t="n"/>
      <c r="G2513" s="30" t="n"/>
      <c r="H2513" s="31">
        <f>IF(G2513="","",SUMIF(C$2:C2513,"Masuk",G$2:G2513)-SUMIF(C$2:C2513,"Keluar",G$2:G2513))</f>
        <v/>
      </c>
    </row>
    <row r="2514">
      <c r="A2514" s="22" t="n"/>
      <c r="B2514" s="23" t="n"/>
      <c r="C2514" s="24" t="n"/>
      <c r="D2514" s="17" t="n"/>
      <c r="E2514" s="17" t="n"/>
      <c r="F2514" s="17" t="n"/>
      <c r="G2514" s="15" t="n"/>
      <c r="H2514" s="25">
        <f>IF(G2514="","",SUMIF(C$2:C2514,"Masuk",G$2:G2514)-SUMIF(C$2:C2514,"Keluar",G$2:G2514))</f>
        <v/>
      </c>
    </row>
    <row r="2515">
      <c r="A2515" s="26" t="n"/>
      <c r="B2515" s="27" t="n"/>
      <c r="C2515" s="28" t="n"/>
      <c r="D2515" s="29" t="n"/>
      <c r="E2515" s="29" t="n"/>
      <c r="F2515" s="29" t="n"/>
      <c r="G2515" s="30" t="n"/>
      <c r="H2515" s="31">
        <f>IF(G2515="","",SUMIF(C$2:C2515,"Masuk",G$2:G2515)-SUMIF(C$2:C2515,"Keluar",G$2:G2515))</f>
        <v/>
      </c>
    </row>
    <row r="2516">
      <c r="A2516" s="22" t="n"/>
      <c r="B2516" s="23" t="n"/>
      <c r="C2516" s="24" t="n"/>
      <c r="D2516" s="17" t="n"/>
      <c r="E2516" s="17" t="n"/>
      <c r="F2516" s="17" t="n"/>
      <c r="G2516" s="15" t="n"/>
      <c r="H2516" s="25">
        <f>IF(G2516="","",SUMIF(C$2:C2516,"Masuk",G$2:G2516)-SUMIF(C$2:C2516,"Keluar",G$2:G2516))</f>
        <v/>
      </c>
    </row>
    <row r="2517">
      <c r="A2517" s="26" t="n"/>
      <c r="B2517" s="27" t="n"/>
      <c r="C2517" s="28" t="n"/>
      <c r="D2517" s="29" t="n"/>
      <c r="E2517" s="29" t="n"/>
      <c r="F2517" s="29" t="n"/>
      <c r="G2517" s="30" t="n"/>
      <c r="H2517" s="31">
        <f>IF(G2517="","",SUMIF(C$2:C2517,"Masuk",G$2:G2517)-SUMIF(C$2:C2517,"Keluar",G$2:G2517))</f>
        <v/>
      </c>
    </row>
    <row r="2518">
      <c r="A2518" s="22" t="n"/>
      <c r="B2518" s="23" t="n"/>
      <c r="C2518" s="24" t="n"/>
      <c r="D2518" s="17" t="n"/>
      <c r="E2518" s="17" t="n"/>
      <c r="F2518" s="17" t="n"/>
      <c r="G2518" s="15" t="n"/>
      <c r="H2518" s="25">
        <f>IF(G2518="","",SUMIF(C$2:C2518,"Masuk",G$2:G2518)-SUMIF(C$2:C2518,"Keluar",G$2:G2518))</f>
        <v/>
      </c>
    </row>
    <row r="2519">
      <c r="A2519" s="26" t="n"/>
      <c r="B2519" s="27" t="n"/>
      <c r="C2519" s="28" t="n"/>
      <c r="D2519" s="29" t="n"/>
      <c r="E2519" s="29" t="n"/>
      <c r="F2519" s="29" t="n"/>
      <c r="G2519" s="30" t="n"/>
      <c r="H2519" s="31">
        <f>IF(G2519="","",SUMIF(C$2:C2519,"Masuk",G$2:G2519)-SUMIF(C$2:C2519,"Keluar",G$2:G2519))</f>
        <v/>
      </c>
    </row>
    <row r="2520">
      <c r="A2520" s="22" t="n"/>
      <c r="B2520" s="23" t="n"/>
      <c r="C2520" s="24" t="n"/>
      <c r="D2520" s="17" t="n"/>
      <c r="E2520" s="17" t="n"/>
      <c r="F2520" s="17" t="n"/>
      <c r="G2520" s="15" t="n"/>
      <c r="H2520" s="25">
        <f>IF(G2520="","",SUMIF(C$2:C2520,"Masuk",G$2:G2520)-SUMIF(C$2:C2520,"Keluar",G$2:G2520))</f>
        <v/>
      </c>
    </row>
    <row r="2521">
      <c r="A2521" s="26" t="n"/>
      <c r="B2521" s="27" t="n"/>
      <c r="C2521" s="28" t="n"/>
      <c r="D2521" s="29" t="n"/>
      <c r="E2521" s="29" t="n"/>
      <c r="F2521" s="29" t="n"/>
      <c r="G2521" s="30" t="n"/>
      <c r="H2521" s="31">
        <f>IF(G2521="","",SUMIF(C$2:C2521,"Masuk",G$2:G2521)-SUMIF(C$2:C2521,"Keluar",G$2:G2521))</f>
        <v/>
      </c>
    </row>
    <row r="2522">
      <c r="A2522" s="22" t="n"/>
      <c r="B2522" s="23" t="n"/>
      <c r="C2522" s="24" t="n"/>
      <c r="D2522" s="17" t="n"/>
      <c r="E2522" s="17" t="n"/>
      <c r="F2522" s="17" t="n"/>
      <c r="G2522" s="15" t="n"/>
      <c r="H2522" s="25">
        <f>IF(G2522="","",SUMIF(C$2:C2522,"Masuk",G$2:G2522)-SUMIF(C$2:C2522,"Keluar",G$2:G2522))</f>
        <v/>
      </c>
    </row>
    <row r="2523">
      <c r="A2523" s="26" t="n"/>
      <c r="B2523" s="27" t="n"/>
      <c r="C2523" s="28" t="n"/>
      <c r="D2523" s="29" t="n"/>
      <c r="E2523" s="29" t="n"/>
      <c r="F2523" s="29" t="n"/>
      <c r="G2523" s="30" t="n"/>
      <c r="H2523" s="31">
        <f>IF(G2523="","",SUMIF(C$2:C2523,"Masuk",G$2:G2523)-SUMIF(C$2:C2523,"Keluar",G$2:G2523))</f>
        <v/>
      </c>
    </row>
    <row r="2524">
      <c r="A2524" s="22" t="n"/>
      <c r="B2524" s="23" t="n"/>
      <c r="C2524" s="24" t="n"/>
      <c r="D2524" s="17" t="n"/>
      <c r="E2524" s="17" t="n"/>
      <c r="F2524" s="17" t="n"/>
      <c r="G2524" s="15" t="n"/>
      <c r="H2524" s="25">
        <f>IF(G2524="","",SUMIF(C$2:C2524,"Masuk",G$2:G2524)-SUMIF(C$2:C2524,"Keluar",G$2:G2524))</f>
        <v/>
      </c>
    </row>
    <row r="2525">
      <c r="A2525" s="26" t="n"/>
      <c r="B2525" s="27" t="n"/>
      <c r="C2525" s="28" t="n"/>
      <c r="D2525" s="29" t="n"/>
      <c r="E2525" s="29" t="n"/>
      <c r="F2525" s="29" t="n"/>
      <c r="G2525" s="30" t="n"/>
      <c r="H2525" s="31">
        <f>IF(G2525="","",SUMIF(C$2:C2525,"Masuk",G$2:G2525)-SUMIF(C$2:C2525,"Keluar",G$2:G2525))</f>
        <v/>
      </c>
    </row>
    <row r="2526">
      <c r="A2526" s="22" t="n"/>
      <c r="B2526" s="23" t="n"/>
      <c r="C2526" s="24" t="n"/>
      <c r="D2526" s="17" t="n"/>
      <c r="E2526" s="17" t="n"/>
      <c r="F2526" s="17" t="n"/>
      <c r="G2526" s="15" t="n"/>
      <c r="H2526" s="25">
        <f>IF(G2526="","",SUMIF(C$2:C2526,"Masuk",G$2:G2526)-SUMIF(C$2:C2526,"Keluar",G$2:G2526))</f>
        <v/>
      </c>
    </row>
    <row r="2527">
      <c r="A2527" s="26" t="n"/>
      <c r="B2527" s="27" t="n"/>
      <c r="C2527" s="28" t="n"/>
      <c r="D2527" s="29" t="n"/>
      <c r="E2527" s="29" t="n"/>
      <c r="F2527" s="29" t="n"/>
      <c r="G2527" s="30" t="n"/>
      <c r="H2527" s="31">
        <f>IF(G2527="","",SUMIF(C$2:C2527,"Masuk",G$2:G2527)-SUMIF(C$2:C2527,"Keluar",G$2:G2527))</f>
        <v/>
      </c>
    </row>
    <row r="2528">
      <c r="A2528" s="22" t="n"/>
      <c r="B2528" s="23" t="n"/>
      <c r="C2528" s="24" t="n"/>
      <c r="D2528" s="17" t="n"/>
      <c r="E2528" s="17" t="n"/>
      <c r="F2528" s="17" t="n"/>
      <c r="G2528" s="15" t="n"/>
      <c r="H2528" s="25">
        <f>IF(G2528="","",SUMIF(C$2:C2528,"Masuk",G$2:G2528)-SUMIF(C$2:C2528,"Keluar",G$2:G2528))</f>
        <v/>
      </c>
    </row>
    <row r="2529">
      <c r="A2529" s="26" t="n"/>
      <c r="B2529" s="27" t="n"/>
      <c r="C2529" s="28" t="n"/>
      <c r="D2529" s="29" t="n"/>
      <c r="E2529" s="29" t="n"/>
      <c r="F2529" s="29" t="n"/>
      <c r="G2529" s="30" t="n"/>
      <c r="H2529" s="31">
        <f>IF(G2529="","",SUMIF(C$2:C2529,"Masuk",G$2:G2529)-SUMIF(C$2:C2529,"Keluar",G$2:G2529))</f>
        <v/>
      </c>
    </row>
    <row r="2530">
      <c r="A2530" s="22" t="n"/>
      <c r="B2530" s="23" t="n"/>
      <c r="C2530" s="24" t="n"/>
      <c r="D2530" s="17" t="n"/>
      <c r="E2530" s="17" t="n"/>
      <c r="F2530" s="17" t="n"/>
      <c r="G2530" s="15" t="n"/>
      <c r="H2530" s="25">
        <f>IF(G2530="","",SUMIF(C$2:C2530,"Masuk",G$2:G2530)-SUMIF(C$2:C2530,"Keluar",G$2:G2530))</f>
        <v/>
      </c>
    </row>
    <row r="2531">
      <c r="A2531" s="26" t="n"/>
      <c r="B2531" s="27" t="n"/>
      <c r="C2531" s="28" t="n"/>
      <c r="D2531" s="29" t="n"/>
      <c r="E2531" s="29" t="n"/>
      <c r="F2531" s="29" t="n"/>
      <c r="G2531" s="30" t="n"/>
      <c r="H2531" s="31">
        <f>IF(G2531="","",SUMIF(C$2:C2531,"Masuk",G$2:G2531)-SUMIF(C$2:C2531,"Keluar",G$2:G2531))</f>
        <v/>
      </c>
    </row>
    <row r="2532">
      <c r="A2532" s="22" t="n"/>
      <c r="B2532" s="23" t="n"/>
      <c r="C2532" s="24" t="n"/>
      <c r="D2532" s="17" t="n"/>
      <c r="E2532" s="17" t="n"/>
      <c r="F2532" s="17" t="n"/>
      <c r="G2532" s="15" t="n"/>
      <c r="H2532" s="25">
        <f>IF(G2532="","",SUMIF(C$2:C2532,"Masuk",G$2:G2532)-SUMIF(C$2:C2532,"Keluar",G$2:G2532))</f>
        <v/>
      </c>
    </row>
    <row r="2533">
      <c r="A2533" s="26" t="n"/>
      <c r="B2533" s="27" t="n"/>
      <c r="C2533" s="28" t="n"/>
      <c r="D2533" s="29" t="n"/>
      <c r="E2533" s="29" t="n"/>
      <c r="F2533" s="29" t="n"/>
      <c r="G2533" s="30" t="n"/>
      <c r="H2533" s="31">
        <f>IF(G2533="","",SUMIF(C$2:C2533,"Masuk",G$2:G2533)-SUMIF(C$2:C2533,"Keluar",G$2:G2533))</f>
        <v/>
      </c>
    </row>
    <row r="2534">
      <c r="A2534" s="22" t="n"/>
      <c r="B2534" s="23" t="n"/>
      <c r="C2534" s="24" t="n"/>
      <c r="D2534" s="17" t="n"/>
      <c r="E2534" s="17" t="n"/>
      <c r="F2534" s="17" t="n"/>
      <c r="G2534" s="15" t="n"/>
      <c r="H2534" s="25">
        <f>IF(G2534="","",SUMIF(C$2:C2534,"Masuk",G$2:G2534)-SUMIF(C$2:C2534,"Keluar",G$2:G2534))</f>
        <v/>
      </c>
    </row>
    <row r="2535">
      <c r="A2535" s="26" t="n"/>
      <c r="B2535" s="27" t="n"/>
      <c r="C2535" s="28" t="n"/>
      <c r="D2535" s="29" t="n"/>
      <c r="E2535" s="29" t="n"/>
      <c r="F2535" s="29" t="n"/>
      <c r="G2535" s="30" t="n"/>
      <c r="H2535" s="31">
        <f>IF(G2535="","",SUMIF(C$2:C2535,"Masuk",G$2:G2535)-SUMIF(C$2:C2535,"Keluar",G$2:G2535))</f>
        <v/>
      </c>
    </row>
    <row r="2536">
      <c r="A2536" s="22" t="n"/>
      <c r="B2536" s="23" t="n"/>
      <c r="C2536" s="24" t="n"/>
      <c r="D2536" s="17" t="n"/>
      <c r="E2536" s="17" t="n"/>
      <c r="F2536" s="17" t="n"/>
      <c r="G2536" s="15" t="n"/>
      <c r="H2536" s="25">
        <f>IF(G2536="","",SUMIF(C$2:C2536,"Masuk",G$2:G2536)-SUMIF(C$2:C2536,"Keluar",G$2:G2536))</f>
        <v/>
      </c>
    </row>
    <row r="2537">
      <c r="A2537" s="26" t="n"/>
      <c r="B2537" s="27" t="n"/>
      <c r="C2537" s="28" t="n"/>
      <c r="D2537" s="29" t="n"/>
      <c r="E2537" s="29" t="n"/>
      <c r="F2537" s="29" t="n"/>
      <c r="G2537" s="30" t="n"/>
      <c r="H2537" s="31">
        <f>IF(G2537="","",SUMIF(C$2:C2537,"Masuk",G$2:G2537)-SUMIF(C$2:C2537,"Keluar",G$2:G2537))</f>
        <v/>
      </c>
    </row>
    <row r="2538">
      <c r="A2538" s="22" t="n"/>
      <c r="B2538" s="23" t="n"/>
      <c r="C2538" s="24" t="n"/>
      <c r="D2538" s="17" t="n"/>
      <c r="E2538" s="17" t="n"/>
      <c r="F2538" s="17" t="n"/>
      <c r="G2538" s="15" t="n"/>
      <c r="H2538" s="25">
        <f>IF(G2538="","",SUMIF(C$2:C2538,"Masuk",G$2:G2538)-SUMIF(C$2:C2538,"Keluar",G$2:G2538))</f>
        <v/>
      </c>
    </row>
    <row r="2539">
      <c r="A2539" s="26" t="n"/>
      <c r="B2539" s="27" t="n"/>
      <c r="C2539" s="28" t="n"/>
      <c r="D2539" s="29" t="n"/>
      <c r="E2539" s="29" t="n"/>
      <c r="F2539" s="29" t="n"/>
      <c r="G2539" s="30" t="n"/>
      <c r="H2539" s="31">
        <f>IF(G2539="","",SUMIF(C$2:C2539,"Masuk",G$2:G2539)-SUMIF(C$2:C2539,"Keluar",G$2:G2539))</f>
        <v/>
      </c>
    </row>
    <row r="2540">
      <c r="A2540" s="22" t="n"/>
      <c r="B2540" s="23" t="n"/>
      <c r="C2540" s="24" t="n"/>
      <c r="D2540" s="17" t="n"/>
      <c r="E2540" s="17" t="n"/>
      <c r="F2540" s="17" t="n"/>
      <c r="G2540" s="15" t="n"/>
      <c r="H2540" s="25">
        <f>IF(G2540="","",SUMIF(C$2:C2540,"Masuk",G$2:G2540)-SUMIF(C$2:C2540,"Keluar",G$2:G2540))</f>
        <v/>
      </c>
    </row>
    <row r="2541">
      <c r="A2541" s="26" t="n"/>
      <c r="B2541" s="27" t="n"/>
      <c r="C2541" s="28" t="n"/>
      <c r="D2541" s="29" t="n"/>
      <c r="E2541" s="29" t="n"/>
      <c r="F2541" s="29" t="n"/>
      <c r="G2541" s="30" t="n"/>
      <c r="H2541" s="31">
        <f>IF(G2541="","",SUMIF(C$2:C2541,"Masuk",G$2:G2541)-SUMIF(C$2:C2541,"Keluar",G$2:G2541))</f>
        <v/>
      </c>
    </row>
    <row r="2542">
      <c r="A2542" s="22" t="n"/>
      <c r="B2542" s="23" t="n"/>
      <c r="C2542" s="24" t="n"/>
      <c r="D2542" s="17" t="n"/>
      <c r="E2542" s="17" t="n"/>
      <c r="F2542" s="17" t="n"/>
      <c r="G2542" s="15" t="n"/>
      <c r="H2542" s="25">
        <f>IF(G2542="","",SUMIF(C$2:C2542,"Masuk",G$2:G2542)-SUMIF(C$2:C2542,"Keluar",G$2:G2542))</f>
        <v/>
      </c>
    </row>
    <row r="2543">
      <c r="A2543" s="26" t="n"/>
      <c r="B2543" s="27" t="n"/>
      <c r="C2543" s="28" t="n"/>
      <c r="D2543" s="29" t="n"/>
      <c r="E2543" s="29" t="n"/>
      <c r="F2543" s="29" t="n"/>
      <c r="G2543" s="30" t="n"/>
      <c r="H2543" s="31">
        <f>IF(G2543="","",SUMIF(C$2:C2543,"Masuk",G$2:G2543)-SUMIF(C$2:C2543,"Keluar",G$2:G2543))</f>
        <v/>
      </c>
    </row>
    <row r="2544">
      <c r="A2544" s="22" t="n"/>
      <c r="B2544" s="23" t="n"/>
      <c r="C2544" s="24" t="n"/>
      <c r="D2544" s="17" t="n"/>
      <c r="E2544" s="17" t="n"/>
      <c r="F2544" s="17" t="n"/>
      <c r="G2544" s="15" t="n"/>
      <c r="H2544" s="25">
        <f>IF(G2544="","",SUMIF(C$2:C2544,"Masuk",G$2:G2544)-SUMIF(C$2:C2544,"Keluar",G$2:G2544))</f>
        <v/>
      </c>
    </row>
    <row r="2545">
      <c r="A2545" s="26" t="n"/>
      <c r="B2545" s="27" t="n"/>
      <c r="C2545" s="28" t="n"/>
      <c r="D2545" s="29" t="n"/>
      <c r="E2545" s="29" t="n"/>
      <c r="F2545" s="29" t="n"/>
      <c r="G2545" s="30" t="n"/>
      <c r="H2545" s="31">
        <f>IF(G2545="","",SUMIF(C$2:C2545,"Masuk",G$2:G2545)-SUMIF(C$2:C2545,"Keluar",G$2:G2545))</f>
        <v/>
      </c>
    </row>
    <row r="2546">
      <c r="A2546" s="22" t="n"/>
      <c r="B2546" s="23" t="n"/>
      <c r="C2546" s="24" t="n"/>
      <c r="D2546" s="17" t="n"/>
      <c r="E2546" s="17" t="n"/>
      <c r="F2546" s="17" t="n"/>
      <c r="G2546" s="15" t="n"/>
      <c r="H2546" s="25">
        <f>IF(G2546="","",SUMIF(C$2:C2546,"Masuk",G$2:G2546)-SUMIF(C$2:C2546,"Keluar",G$2:G2546))</f>
        <v/>
      </c>
    </row>
    <row r="2547">
      <c r="A2547" s="26" t="n"/>
      <c r="B2547" s="27" t="n"/>
      <c r="C2547" s="28" t="n"/>
      <c r="D2547" s="29" t="n"/>
      <c r="E2547" s="29" t="n"/>
      <c r="F2547" s="29" t="n"/>
      <c r="G2547" s="30" t="n"/>
      <c r="H2547" s="31">
        <f>IF(G2547="","",SUMIF(C$2:C2547,"Masuk",G$2:G2547)-SUMIF(C$2:C2547,"Keluar",G$2:G2547))</f>
        <v/>
      </c>
    </row>
    <row r="2548">
      <c r="A2548" s="22" t="n"/>
      <c r="B2548" s="23" t="n"/>
      <c r="C2548" s="24" t="n"/>
      <c r="D2548" s="17" t="n"/>
      <c r="E2548" s="17" t="n"/>
      <c r="F2548" s="17" t="n"/>
      <c r="G2548" s="15" t="n"/>
      <c r="H2548" s="25">
        <f>IF(G2548="","",SUMIF(C$2:C2548,"Masuk",G$2:G2548)-SUMIF(C$2:C2548,"Keluar",G$2:G2548))</f>
        <v/>
      </c>
    </row>
    <row r="2549">
      <c r="A2549" s="26" t="n"/>
      <c r="B2549" s="27" t="n"/>
      <c r="C2549" s="28" t="n"/>
      <c r="D2549" s="29" t="n"/>
      <c r="E2549" s="29" t="n"/>
      <c r="F2549" s="29" t="n"/>
      <c r="G2549" s="30" t="n"/>
      <c r="H2549" s="31">
        <f>IF(G2549="","",SUMIF(C$2:C2549,"Masuk",G$2:G2549)-SUMIF(C$2:C2549,"Keluar",G$2:G2549))</f>
        <v/>
      </c>
    </row>
    <row r="2550">
      <c r="A2550" s="22" t="n"/>
      <c r="B2550" s="23" t="n"/>
      <c r="C2550" s="24" t="n"/>
      <c r="D2550" s="17" t="n"/>
      <c r="E2550" s="17" t="n"/>
      <c r="F2550" s="17" t="n"/>
      <c r="G2550" s="15" t="n"/>
      <c r="H2550" s="25">
        <f>IF(G2550="","",SUMIF(C$2:C2550,"Masuk",G$2:G2550)-SUMIF(C$2:C2550,"Keluar",G$2:G2550))</f>
        <v/>
      </c>
    </row>
    <row r="2551">
      <c r="A2551" s="26" t="n"/>
      <c r="B2551" s="27" t="n"/>
      <c r="C2551" s="28" t="n"/>
      <c r="D2551" s="29" t="n"/>
      <c r="E2551" s="29" t="n"/>
      <c r="F2551" s="29" t="n"/>
      <c r="G2551" s="30" t="n"/>
      <c r="H2551" s="31">
        <f>IF(G2551="","",SUMIF(C$2:C2551,"Masuk",G$2:G2551)-SUMIF(C$2:C2551,"Keluar",G$2:G2551))</f>
        <v/>
      </c>
    </row>
    <row r="2552">
      <c r="A2552" s="22" t="n"/>
      <c r="B2552" s="23" t="n"/>
      <c r="C2552" s="24" t="n"/>
      <c r="D2552" s="17" t="n"/>
      <c r="E2552" s="17" t="n"/>
      <c r="F2552" s="17" t="n"/>
      <c r="G2552" s="15" t="n"/>
      <c r="H2552" s="25">
        <f>IF(G2552="","",SUMIF(C$2:C2552,"Masuk",G$2:G2552)-SUMIF(C$2:C2552,"Keluar",G$2:G2552))</f>
        <v/>
      </c>
    </row>
    <row r="2553">
      <c r="A2553" s="26" t="n"/>
      <c r="B2553" s="27" t="n"/>
      <c r="C2553" s="28" t="n"/>
      <c r="D2553" s="29" t="n"/>
      <c r="E2553" s="29" t="n"/>
      <c r="F2553" s="29" t="n"/>
      <c r="G2553" s="30" t="n"/>
      <c r="H2553" s="31">
        <f>IF(G2553="","",SUMIF(C$2:C2553,"Masuk",G$2:G2553)-SUMIF(C$2:C2553,"Keluar",G$2:G2553))</f>
        <v/>
      </c>
    </row>
    <row r="2554">
      <c r="A2554" s="22" t="n"/>
      <c r="B2554" s="23" t="n"/>
      <c r="C2554" s="24" t="n"/>
      <c r="D2554" s="17" t="n"/>
      <c r="E2554" s="17" t="n"/>
      <c r="F2554" s="17" t="n"/>
      <c r="G2554" s="15" t="n"/>
      <c r="H2554" s="25">
        <f>IF(G2554="","",SUMIF(C$2:C2554,"Masuk",G$2:G2554)-SUMIF(C$2:C2554,"Keluar",G$2:G2554))</f>
        <v/>
      </c>
    </row>
    <row r="2555">
      <c r="A2555" s="26" t="n"/>
      <c r="B2555" s="27" t="n"/>
      <c r="C2555" s="28" t="n"/>
      <c r="D2555" s="29" t="n"/>
      <c r="E2555" s="29" t="n"/>
      <c r="F2555" s="29" t="n"/>
      <c r="G2555" s="30" t="n"/>
      <c r="H2555" s="31">
        <f>IF(G2555="","",SUMIF(C$2:C2555,"Masuk",G$2:G2555)-SUMIF(C$2:C2555,"Keluar",G$2:G2555))</f>
        <v/>
      </c>
    </row>
    <row r="2556">
      <c r="A2556" s="22" t="n"/>
      <c r="B2556" s="23" t="n"/>
      <c r="C2556" s="24" t="n"/>
      <c r="D2556" s="17" t="n"/>
      <c r="E2556" s="17" t="n"/>
      <c r="F2556" s="17" t="n"/>
      <c r="G2556" s="15" t="n"/>
      <c r="H2556" s="25">
        <f>IF(G2556="","",SUMIF(C$2:C2556,"Masuk",G$2:G2556)-SUMIF(C$2:C2556,"Keluar",G$2:G2556))</f>
        <v/>
      </c>
    </row>
    <row r="2557">
      <c r="A2557" s="26" t="n"/>
      <c r="B2557" s="27" t="n"/>
      <c r="C2557" s="28" t="n"/>
      <c r="D2557" s="29" t="n"/>
      <c r="E2557" s="29" t="n"/>
      <c r="F2557" s="29" t="n"/>
      <c r="G2557" s="30" t="n"/>
      <c r="H2557" s="31">
        <f>IF(G2557="","",SUMIF(C$2:C2557,"Masuk",G$2:G2557)-SUMIF(C$2:C2557,"Keluar",G$2:G2557))</f>
        <v/>
      </c>
    </row>
    <row r="2558">
      <c r="A2558" s="22" t="n"/>
      <c r="B2558" s="23" t="n"/>
      <c r="C2558" s="24" t="n"/>
      <c r="D2558" s="17" t="n"/>
      <c r="E2558" s="17" t="n"/>
      <c r="F2558" s="17" t="n"/>
      <c r="G2558" s="15" t="n"/>
      <c r="H2558" s="25">
        <f>IF(G2558="","",SUMIF(C$2:C2558,"Masuk",G$2:G2558)-SUMIF(C$2:C2558,"Keluar",G$2:G2558))</f>
        <v/>
      </c>
    </row>
    <row r="2559">
      <c r="A2559" s="26" t="n"/>
      <c r="B2559" s="27" t="n"/>
      <c r="C2559" s="28" t="n"/>
      <c r="D2559" s="29" t="n"/>
      <c r="E2559" s="29" t="n"/>
      <c r="F2559" s="29" t="n"/>
      <c r="G2559" s="30" t="n"/>
      <c r="H2559" s="31">
        <f>IF(G2559="","",SUMIF(C$2:C2559,"Masuk",G$2:G2559)-SUMIF(C$2:C2559,"Keluar",G$2:G2559))</f>
        <v/>
      </c>
    </row>
    <row r="2560">
      <c r="A2560" s="22" t="n"/>
      <c r="B2560" s="23" t="n"/>
      <c r="C2560" s="24" t="n"/>
      <c r="D2560" s="17" t="n"/>
      <c r="E2560" s="17" t="n"/>
      <c r="F2560" s="17" t="n"/>
      <c r="G2560" s="15" t="n"/>
      <c r="H2560" s="25">
        <f>IF(G2560="","",SUMIF(C$2:C2560,"Masuk",G$2:G2560)-SUMIF(C$2:C2560,"Keluar",G$2:G2560))</f>
        <v/>
      </c>
    </row>
    <row r="2561">
      <c r="A2561" s="26" t="n"/>
      <c r="B2561" s="27" t="n"/>
      <c r="C2561" s="28" t="n"/>
      <c r="D2561" s="29" t="n"/>
      <c r="E2561" s="29" t="n"/>
      <c r="F2561" s="29" t="n"/>
      <c r="G2561" s="30" t="n"/>
      <c r="H2561" s="31">
        <f>IF(G2561="","",SUMIF(C$2:C2561,"Masuk",G$2:G2561)-SUMIF(C$2:C2561,"Keluar",G$2:G2561))</f>
        <v/>
      </c>
    </row>
    <row r="2562">
      <c r="A2562" s="22" t="n"/>
      <c r="B2562" s="23" t="n"/>
      <c r="C2562" s="24" t="n"/>
      <c r="D2562" s="17" t="n"/>
      <c r="E2562" s="17" t="n"/>
      <c r="F2562" s="17" t="n"/>
      <c r="G2562" s="15" t="n"/>
      <c r="H2562" s="25">
        <f>IF(G2562="","",SUMIF(C$2:C2562,"Masuk",G$2:G2562)-SUMIF(C$2:C2562,"Keluar",G$2:G2562))</f>
        <v/>
      </c>
    </row>
    <row r="2563">
      <c r="A2563" s="26" t="n"/>
      <c r="B2563" s="27" t="n"/>
      <c r="C2563" s="28" t="n"/>
      <c r="D2563" s="29" t="n"/>
      <c r="E2563" s="29" t="n"/>
      <c r="F2563" s="29" t="n"/>
      <c r="G2563" s="30" t="n"/>
      <c r="H2563" s="31">
        <f>IF(G2563="","",SUMIF(C$2:C2563,"Masuk",G$2:G2563)-SUMIF(C$2:C2563,"Keluar",G$2:G2563))</f>
        <v/>
      </c>
    </row>
    <row r="2564">
      <c r="A2564" s="22" t="n"/>
      <c r="B2564" s="23" t="n"/>
      <c r="C2564" s="24" t="n"/>
      <c r="D2564" s="17" t="n"/>
      <c r="E2564" s="17" t="n"/>
      <c r="F2564" s="17" t="n"/>
      <c r="G2564" s="15" t="n"/>
      <c r="H2564" s="25">
        <f>IF(G2564="","",SUMIF(C$2:C2564,"Masuk",G$2:G2564)-SUMIF(C$2:C2564,"Keluar",G$2:G2564))</f>
        <v/>
      </c>
    </row>
    <row r="2565">
      <c r="A2565" s="26" t="n"/>
      <c r="B2565" s="27" t="n"/>
      <c r="C2565" s="28" t="n"/>
      <c r="D2565" s="29" t="n"/>
      <c r="E2565" s="29" t="n"/>
      <c r="F2565" s="29" t="n"/>
      <c r="G2565" s="30" t="n"/>
      <c r="H2565" s="31">
        <f>IF(G2565="","",SUMIF(C$2:C2565,"Masuk",G$2:G2565)-SUMIF(C$2:C2565,"Keluar",G$2:G2565))</f>
        <v/>
      </c>
    </row>
    <row r="2566">
      <c r="A2566" s="22" t="n"/>
      <c r="B2566" s="23" t="n"/>
      <c r="C2566" s="24" t="n"/>
      <c r="D2566" s="17" t="n"/>
      <c r="E2566" s="17" t="n"/>
      <c r="F2566" s="17" t="n"/>
      <c r="G2566" s="15" t="n"/>
      <c r="H2566" s="25">
        <f>IF(G2566="","",SUMIF(C$2:C2566,"Masuk",G$2:G2566)-SUMIF(C$2:C2566,"Keluar",G$2:G2566))</f>
        <v/>
      </c>
    </row>
    <row r="2567">
      <c r="A2567" s="26" t="n"/>
      <c r="B2567" s="27" t="n"/>
      <c r="C2567" s="28" t="n"/>
      <c r="D2567" s="29" t="n"/>
      <c r="E2567" s="29" t="n"/>
      <c r="F2567" s="29" t="n"/>
      <c r="G2567" s="30" t="n"/>
      <c r="H2567" s="31">
        <f>IF(G2567="","",SUMIF(C$2:C2567,"Masuk",G$2:G2567)-SUMIF(C$2:C2567,"Keluar",G$2:G2567))</f>
        <v/>
      </c>
    </row>
    <row r="2568">
      <c r="A2568" s="22" t="n"/>
      <c r="B2568" s="23" t="n"/>
      <c r="C2568" s="24" t="n"/>
      <c r="D2568" s="17" t="n"/>
      <c r="E2568" s="17" t="n"/>
      <c r="F2568" s="17" t="n"/>
      <c r="G2568" s="15" t="n"/>
      <c r="H2568" s="25">
        <f>IF(G2568="","",SUMIF(C$2:C2568,"Masuk",G$2:G2568)-SUMIF(C$2:C2568,"Keluar",G$2:G2568))</f>
        <v/>
      </c>
    </row>
    <row r="2569">
      <c r="A2569" s="26" t="n"/>
      <c r="B2569" s="27" t="n"/>
      <c r="C2569" s="28" t="n"/>
      <c r="D2569" s="29" t="n"/>
      <c r="E2569" s="29" t="n"/>
      <c r="F2569" s="29" t="n"/>
      <c r="G2569" s="30" t="n"/>
      <c r="H2569" s="31">
        <f>IF(G2569="","",SUMIF(C$2:C2569,"Masuk",G$2:G2569)-SUMIF(C$2:C2569,"Keluar",G$2:G2569))</f>
        <v/>
      </c>
    </row>
    <row r="2570">
      <c r="A2570" s="22" t="n"/>
      <c r="B2570" s="23" t="n"/>
      <c r="C2570" s="24" t="n"/>
      <c r="D2570" s="17" t="n"/>
      <c r="E2570" s="17" t="n"/>
      <c r="F2570" s="17" t="n"/>
      <c r="G2570" s="15" t="n"/>
      <c r="H2570" s="25">
        <f>IF(G2570="","",SUMIF(C$2:C2570,"Masuk",G$2:G2570)-SUMIF(C$2:C2570,"Keluar",G$2:G2570))</f>
        <v/>
      </c>
    </row>
    <row r="2571">
      <c r="A2571" s="26" t="n"/>
      <c r="B2571" s="27" t="n"/>
      <c r="C2571" s="28" t="n"/>
      <c r="D2571" s="29" t="n"/>
      <c r="E2571" s="29" t="n"/>
      <c r="F2571" s="29" t="n"/>
      <c r="G2571" s="30" t="n"/>
      <c r="H2571" s="31">
        <f>IF(G2571="","",SUMIF(C$2:C2571,"Masuk",G$2:G2571)-SUMIF(C$2:C2571,"Keluar",G$2:G2571))</f>
        <v/>
      </c>
    </row>
    <row r="2572">
      <c r="A2572" s="22" t="n"/>
      <c r="B2572" s="23" t="n"/>
      <c r="C2572" s="24" t="n"/>
      <c r="D2572" s="17" t="n"/>
      <c r="E2572" s="17" t="n"/>
      <c r="F2572" s="17" t="n"/>
      <c r="G2572" s="15" t="n"/>
      <c r="H2572" s="25">
        <f>IF(G2572="","",SUMIF(C$2:C2572,"Masuk",G$2:G2572)-SUMIF(C$2:C2572,"Keluar",G$2:G2572))</f>
        <v/>
      </c>
    </row>
    <row r="2573">
      <c r="A2573" s="26" t="n"/>
      <c r="B2573" s="27" t="n"/>
      <c r="C2573" s="28" t="n"/>
      <c r="D2573" s="29" t="n"/>
      <c r="E2573" s="29" t="n"/>
      <c r="F2573" s="29" t="n"/>
      <c r="G2573" s="30" t="n"/>
      <c r="H2573" s="31">
        <f>IF(G2573="","",SUMIF(C$2:C2573,"Masuk",G$2:G2573)-SUMIF(C$2:C2573,"Keluar",G$2:G2573))</f>
        <v/>
      </c>
    </row>
    <row r="2574">
      <c r="A2574" s="22" t="n"/>
      <c r="B2574" s="23" t="n"/>
      <c r="C2574" s="24" t="n"/>
      <c r="D2574" s="17" t="n"/>
      <c r="E2574" s="17" t="n"/>
      <c r="F2574" s="17" t="n"/>
      <c r="G2574" s="15" t="n"/>
      <c r="H2574" s="25">
        <f>IF(G2574="","",SUMIF(C$2:C2574,"Masuk",G$2:G2574)-SUMIF(C$2:C2574,"Keluar",G$2:G2574))</f>
        <v/>
      </c>
    </row>
    <row r="2575">
      <c r="A2575" s="26" t="n"/>
      <c r="B2575" s="27" t="n"/>
      <c r="C2575" s="28" t="n"/>
      <c r="D2575" s="29" t="n"/>
      <c r="E2575" s="29" t="n"/>
      <c r="F2575" s="29" t="n"/>
      <c r="G2575" s="30" t="n"/>
      <c r="H2575" s="31">
        <f>IF(G2575="","",SUMIF(C$2:C2575,"Masuk",G$2:G2575)-SUMIF(C$2:C2575,"Keluar",G$2:G2575))</f>
        <v/>
      </c>
    </row>
    <row r="2576">
      <c r="A2576" s="22" t="n"/>
      <c r="B2576" s="23" t="n"/>
      <c r="C2576" s="24" t="n"/>
      <c r="D2576" s="17" t="n"/>
      <c r="E2576" s="17" t="n"/>
      <c r="F2576" s="17" t="n"/>
      <c r="G2576" s="15" t="n"/>
      <c r="H2576" s="25">
        <f>IF(G2576="","",SUMIF(C$2:C2576,"Masuk",G$2:G2576)-SUMIF(C$2:C2576,"Keluar",G$2:G2576))</f>
        <v/>
      </c>
    </row>
    <row r="2577">
      <c r="A2577" s="26" t="n"/>
      <c r="B2577" s="27" t="n"/>
      <c r="C2577" s="28" t="n"/>
      <c r="D2577" s="29" t="n"/>
      <c r="E2577" s="29" t="n"/>
      <c r="F2577" s="29" t="n"/>
      <c r="G2577" s="30" t="n"/>
      <c r="H2577" s="31">
        <f>IF(G2577="","",SUMIF(C$2:C2577,"Masuk",G$2:G2577)-SUMIF(C$2:C2577,"Keluar",G$2:G2577))</f>
        <v/>
      </c>
    </row>
    <row r="2578">
      <c r="A2578" s="22" t="n"/>
      <c r="B2578" s="23" t="n"/>
      <c r="C2578" s="24" t="n"/>
      <c r="D2578" s="17" t="n"/>
      <c r="E2578" s="17" t="n"/>
      <c r="F2578" s="17" t="n"/>
      <c r="G2578" s="15" t="n"/>
      <c r="H2578" s="25">
        <f>IF(G2578="","",SUMIF(C$2:C2578,"Masuk",G$2:G2578)-SUMIF(C$2:C2578,"Keluar",G$2:G2578))</f>
        <v/>
      </c>
    </row>
    <row r="2579">
      <c r="A2579" s="26" t="n"/>
      <c r="B2579" s="27" t="n"/>
      <c r="C2579" s="28" t="n"/>
      <c r="D2579" s="29" t="n"/>
      <c r="E2579" s="29" t="n"/>
      <c r="F2579" s="29" t="n"/>
      <c r="G2579" s="30" t="n"/>
      <c r="H2579" s="31">
        <f>IF(G2579="","",SUMIF(C$2:C2579,"Masuk",G$2:G2579)-SUMIF(C$2:C2579,"Keluar",G$2:G2579))</f>
        <v/>
      </c>
    </row>
    <row r="2580">
      <c r="A2580" s="22" t="n"/>
      <c r="B2580" s="23" t="n"/>
      <c r="C2580" s="24" t="n"/>
      <c r="D2580" s="17" t="n"/>
      <c r="E2580" s="17" t="n"/>
      <c r="F2580" s="17" t="n"/>
      <c r="G2580" s="15" t="n"/>
      <c r="H2580" s="25">
        <f>IF(G2580="","",SUMIF(C$2:C2580,"Masuk",G$2:G2580)-SUMIF(C$2:C2580,"Keluar",G$2:G2580))</f>
        <v/>
      </c>
    </row>
    <row r="2581">
      <c r="A2581" s="26" t="n"/>
      <c r="B2581" s="27" t="n"/>
      <c r="C2581" s="28" t="n"/>
      <c r="D2581" s="29" t="n"/>
      <c r="E2581" s="29" t="n"/>
      <c r="F2581" s="29" t="n"/>
      <c r="G2581" s="30" t="n"/>
      <c r="H2581" s="31">
        <f>IF(G2581="","",SUMIF(C$2:C2581,"Masuk",G$2:G2581)-SUMIF(C$2:C2581,"Keluar",G$2:G2581))</f>
        <v/>
      </c>
    </row>
    <row r="2582">
      <c r="A2582" s="22" t="n"/>
      <c r="B2582" s="23" t="n"/>
      <c r="C2582" s="24" t="n"/>
      <c r="D2582" s="17" t="n"/>
      <c r="E2582" s="17" t="n"/>
      <c r="F2582" s="17" t="n"/>
      <c r="G2582" s="15" t="n"/>
      <c r="H2582" s="25">
        <f>IF(G2582="","",SUMIF(C$2:C2582,"Masuk",G$2:G2582)-SUMIF(C$2:C2582,"Keluar",G$2:G2582))</f>
        <v/>
      </c>
    </row>
    <row r="2583">
      <c r="A2583" s="26" t="n"/>
      <c r="B2583" s="27" t="n"/>
      <c r="C2583" s="28" t="n"/>
      <c r="D2583" s="29" t="n"/>
      <c r="E2583" s="29" t="n"/>
      <c r="F2583" s="29" t="n"/>
      <c r="G2583" s="30" t="n"/>
      <c r="H2583" s="31">
        <f>IF(G2583="","",SUMIF(C$2:C2583,"Masuk",G$2:G2583)-SUMIF(C$2:C2583,"Keluar",G$2:G2583))</f>
        <v/>
      </c>
    </row>
    <row r="2584">
      <c r="A2584" s="22" t="n"/>
      <c r="B2584" s="23" t="n"/>
      <c r="C2584" s="24" t="n"/>
      <c r="D2584" s="17" t="n"/>
      <c r="E2584" s="17" t="n"/>
      <c r="F2584" s="17" t="n"/>
      <c r="G2584" s="15" t="n"/>
      <c r="H2584" s="25">
        <f>IF(G2584="","",SUMIF(C$2:C2584,"Masuk",G$2:G2584)-SUMIF(C$2:C2584,"Keluar",G$2:G2584))</f>
        <v/>
      </c>
    </row>
    <row r="2585">
      <c r="A2585" s="26" t="n"/>
      <c r="B2585" s="27" t="n"/>
      <c r="C2585" s="28" t="n"/>
      <c r="D2585" s="29" t="n"/>
      <c r="E2585" s="29" t="n"/>
      <c r="F2585" s="29" t="n"/>
      <c r="G2585" s="30" t="n"/>
      <c r="H2585" s="31">
        <f>IF(G2585="","",SUMIF(C$2:C2585,"Masuk",G$2:G2585)-SUMIF(C$2:C2585,"Keluar",G$2:G2585))</f>
        <v/>
      </c>
    </row>
    <row r="2586">
      <c r="A2586" s="22" t="n"/>
      <c r="B2586" s="23" t="n"/>
      <c r="C2586" s="24" t="n"/>
      <c r="D2586" s="17" t="n"/>
      <c r="E2586" s="17" t="n"/>
      <c r="F2586" s="17" t="n"/>
      <c r="G2586" s="15" t="n"/>
      <c r="H2586" s="25">
        <f>IF(G2586="","",SUMIF(C$2:C2586,"Masuk",G$2:G2586)-SUMIF(C$2:C2586,"Keluar",G$2:G2586))</f>
        <v/>
      </c>
    </row>
    <row r="2587">
      <c r="A2587" s="26" t="n"/>
      <c r="B2587" s="27" t="n"/>
      <c r="C2587" s="28" t="n"/>
      <c r="D2587" s="29" t="n"/>
      <c r="E2587" s="29" t="n"/>
      <c r="F2587" s="29" t="n"/>
      <c r="G2587" s="30" t="n"/>
      <c r="H2587" s="31">
        <f>IF(G2587="","",SUMIF(C$2:C2587,"Masuk",G$2:G2587)-SUMIF(C$2:C2587,"Keluar",G$2:G2587))</f>
        <v/>
      </c>
    </row>
    <row r="2588">
      <c r="A2588" s="22" t="n"/>
      <c r="B2588" s="23" t="n"/>
      <c r="C2588" s="24" t="n"/>
      <c r="D2588" s="17" t="n"/>
      <c r="E2588" s="17" t="n"/>
      <c r="F2588" s="17" t="n"/>
      <c r="G2588" s="15" t="n"/>
      <c r="H2588" s="25">
        <f>IF(G2588="","",SUMIF(C$2:C2588,"Masuk",G$2:G2588)-SUMIF(C$2:C2588,"Keluar",G$2:G2588))</f>
        <v/>
      </c>
    </row>
    <row r="2589">
      <c r="A2589" s="26" t="n"/>
      <c r="B2589" s="27" t="n"/>
      <c r="C2589" s="28" t="n"/>
      <c r="D2589" s="29" t="n"/>
      <c r="E2589" s="29" t="n"/>
      <c r="F2589" s="29" t="n"/>
      <c r="G2589" s="30" t="n"/>
      <c r="H2589" s="31">
        <f>IF(G2589="","",SUMIF(C$2:C2589,"Masuk",G$2:G2589)-SUMIF(C$2:C2589,"Keluar",G$2:G2589))</f>
        <v/>
      </c>
    </row>
    <row r="2590">
      <c r="A2590" s="22" t="n"/>
      <c r="B2590" s="23" t="n"/>
      <c r="C2590" s="24" t="n"/>
      <c r="D2590" s="17" t="n"/>
      <c r="E2590" s="17" t="n"/>
      <c r="F2590" s="17" t="n"/>
      <c r="G2590" s="15" t="n"/>
      <c r="H2590" s="25">
        <f>IF(G2590="","",SUMIF(C$2:C2590,"Masuk",G$2:G2590)-SUMIF(C$2:C2590,"Keluar",G$2:G2590))</f>
        <v/>
      </c>
    </row>
    <row r="2591">
      <c r="A2591" s="26" t="n"/>
      <c r="B2591" s="27" t="n"/>
      <c r="C2591" s="28" t="n"/>
      <c r="D2591" s="29" t="n"/>
      <c r="E2591" s="29" t="n"/>
      <c r="F2591" s="29" t="n"/>
      <c r="G2591" s="30" t="n"/>
      <c r="H2591" s="31">
        <f>IF(G2591="","",SUMIF(C$2:C2591,"Masuk",G$2:G2591)-SUMIF(C$2:C2591,"Keluar",G$2:G2591))</f>
        <v/>
      </c>
    </row>
    <row r="2592">
      <c r="A2592" s="22" t="n"/>
      <c r="B2592" s="23" t="n"/>
      <c r="C2592" s="24" t="n"/>
      <c r="D2592" s="17" t="n"/>
      <c r="E2592" s="17" t="n"/>
      <c r="F2592" s="17" t="n"/>
      <c r="G2592" s="15" t="n"/>
      <c r="H2592" s="25">
        <f>IF(G2592="","",SUMIF(C$2:C2592,"Masuk",G$2:G2592)-SUMIF(C$2:C2592,"Keluar",G$2:G2592))</f>
        <v/>
      </c>
    </row>
    <row r="2593">
      <c r="A2593" s="26" t="n"/>
      <c r="B2593" s="27" t="n"/>
      <c r="C2593" s="28" t="n"/>
      <c r="D2593" s="29" t="n"/>
      <c r="E2593" s="29" t="n"/>
      <c r="F2593" s="29" t="n"/>
      <c r="G2593" s="30" t="n"/>
      <c r="H2593" s="31">
        <f>IF(G2593="","",SUMIF(C$2:C2593,"Masuk",G$2:G2593)-SUMIF(C$2:C2593,"Keluar",G$2:G2593))</f>
        <v/>
      </c>
    </row>
    <row r="2594">
      <c r="A2594" s="22" t="n"/>
      <c r="B2594" s="23" t="n"/>
      <c r="C2594" s="24" t="n"/>
      <c r="D2594" s="17" t="n"/>
      <c r="E2594" s="17" t="n"/>
      <c r="F2594" s="17" t="n"/>
      <c r="G2594" s="15" t="n"/>
      <c r="H2594" s="25">
        <f>IF(G2594="","",SUMIF(C$2:C2594,"Masuk",G$2:G2594)-SUMIF(C$2:C2594,"Keluar",G$2:G2594))</f>
        <v/>
      </c>
    </row>
    <row r="2595">
      <c r="A2595" s="26" t="n"/>
      <c r="B2595" s="27" t="n"/>
      <c r="C2595" s="28" t="n"/>
      <c r="D2595" s="29" t="n"/>
      <c r="E2595" s="29" t="n"/>
      <c r="F2595" s="29" t="n"/>
      <c r="G2595" s="30" t="n"/>
      <c r="H2595" s="31">
        <f>IF(G2595="","",SUMIF(C$2:C2595,"Masuk",G$2:G2595)-SUMIF(C$2:C2595,"Keluar",G$2:G2595))</f>
        <v/>
      </c>
    </row>
    <row r="2596">
      <c r="A2596" s="22" t="n"/>
      <c r="B2596" s="23" t="n"/>
      <c r="C2596" s="24" t="n"/>
      <c r="D2596" s="17" t="n"/>
      <c r="E2596" s="17" t="n"/>
      <c r="F2596" s="17" t="n"/>
      <c r="G2596" s="15" t="n"/>
      <c r="H2596" s="25">
        <f>IF(G2596="","",SUMIF(C$2:C2596,"Masuk",G$2:G2596)-SUMIF(C$2:C2596,"Keluar",G$2:G2596))</f>
        <v/>
      </c>
    </row>
    <row r="2597">
      <c r="A2597" s="26" t="n"/>
      <c r="B2597" s="27" t="n"/>
      <c r="C2597" s="28" t="n"/>
      <c r="D2597" s="29" t="n"/>
      <c r="E2597" s="29" t="n"/>
      <c r="F2597" s="29" t="n"/>
      <c r="G2597" s="30" t="n"/>
      <c r="H2597" s="31">
        <f>IF(G2597="","",SUMIF(C$2:C2597,"Masuk",G$2:G2597)-SUMIF(C$2:C2597,"Keluar",G$2:G2597))</f>
        <v/>
      </c>
    </row>
    <row r="2598">
      <c r="A2598" s="22" t="n"/>
      <c r="B2598" s="23" t="n"/>
      <c r="C2598" s="24" t="n"/>
      <c r="D2598" s="17" t="n"/>
      <c r="E2598" s="17" t="n"/>
      <c r="F2598" s="17" t="n"/>
      <c r="G2598" s="15" t="n"/>
      <c r="H2598" s="25">
        <f>IF(G2598="","",SUMIF(C$2:C2598,"Masuk",G$2:G2598)-SUMIF(C$2:C2598,"Keluar",G$2:G2598))</f>
        <v/>
      </c>
    </row>
    <row r="2599">
      <c r="A2599" s="26" t="n"/>
      <c r="B2599" s="27" t="n"/>
      <c r="C2599" s="28" t="n"/>
      <c r="D2599" s="29" t="n"/>
      <c r="E2599" s="29" t="n"/>
      <c r="F2599" s="29" t="n"/>
      <c r="G2599" s="30" t="n"/>
      <c r="H2599" s="31">
        <f>IF(G2599="","",SUMIF(C$2:C2599,"Masuk",G$2:G2599)-SUMIF(C$2:C2599,"Keluar",G$2:G2599))</f>
        <v/>
      </c>
    </row>
    <row r="2600">
      <c r="A2600" s="22" t="n"/>
      <c r="B2600" s="23" t="n"/>
      <c r="C2600" s="24" t="n"/>
      <c r="D2600" s="17" t="n"/>
      <c r="E2600" s="17" t="n"/>
      <c r="F2600" s="17" t="n"/>
      <c r="G2600" s="15" t="n"/>
      <c r="H2600" s="25">
        <f>IF(G2600="","",SUMIF(C$2:C2600,"Masuk",G$2:G2600)-SUMIF(C$2:C2600,"Keluar",G$2:G2600))</f>
        <v/>
      </c>
    </row>
    <row r="2601">
      <c r="A2601" s="26" t="n"/>
      <c r="B2601" s="27" t="n"/>
      <c r="C2601" s="28" t="n"/>
      <c r="D2601" s="29" t="n"/>
      <c r="E2601" s="29" t="n"/>
      <c r="F2601" s="29" t="n"/>
      <c r="G2601" s="30" t="n"/>
      <c r="H2601" s="31">
        <f>IF(G2601="","",SUMIF(C$2:C2601,"Masuk",G$2:G2601)-SUMIF(C$2:C2601,"Keluar",G$2:G2601))</f>
        <v/>
      </c>
    </row>
    <row r="2602">
      <c r="A2602" s="22" t="n"/>
      <c r="B2602" s="23" t="n"/>
      <c r="C2602" s="24" t="n"/>
      <c r="D2602" s="17" t="n"/>
      <c r="E2602" s="17" t="n"/>
      <c r="F2602" s="17" t="n"/>
      <c r="G2602" s="15" t="n"/>
      <c r="H2602" s="25">
        <f>IF(G2602="","",SUMIF(C$2:C2602,"Masuk",G$2:G2602)-SUMIF(C$2:C2602,"Keluar",G$2:G2602))</f>
        <v/>
      </c>
    </row>
    <row r="2603">
      <c r="A2603" s="26" t="n"/>
      <c r="B2603" s="27" t="n"/>
      <c r="C2603" s="28" t="n"/>
      <c r="D2603" s="29" t="n"/>
      <c r="E2603" s="29" t="n"/>
      <c r="F2603" s="29" t="n"/>
      <c r="G2603" s="30" t="n"/>
      <c r="H2603" s="31">
        <f>IF(G2603="","",SUMIF(C$2:C2603,"Masuk",G$2:G2603)-SUMIF(C$2:C2603,"Keluar",G$2:G2603))</f>
        <v/>
      </c>
    </row>
    <row r="2604">
      <c r="A2604" s="22" t="n"/>
      <c r="B2604" s="23" t="n"/>
      <c r="C2604" s="24" t="n"/>
      <c r="D2604" s="17" t="n"/>
      <c r="E2604" s="17" t="n"/>
      <c r="F2604" s="17" t="n"/>
      <c r="G2604" s="15" t="n"/>
      <c r="H2604" s="25">
        <f>IF(G2604="","",SUMIF(C$2:C2604,"Masuk",G$2:G2604)-SUMIF(C$2:C2604,"Keluar",G$2:G2604))</f>
        <v/>
      </c>
    </row>
    <row r="2605">
      <c r="A2605" s="26" t="n"/>
      <c r="B2605" s="27" t="n"/>
      <c r="C2605" s="28" t="n"/>
      <c r="D2605" s="29" t="n"/>
      <c r="E2605" s="29" t="n"/>
      <c r="F2605" s="29" t="n"/>
      <c r="G2605" s="30" t="n"/>
      <c r="H2605" s="31">
        <f>IF(G2605="","",SUMIF(C$2:C2605,"Masuk",G$2:G2605)-SUMIF(C$2:C2605,"Keluar",G$2:G2605))</f>
        <v/>
      </c>
    </row>
    <row r="2606">
      <c r="A2606" s="22" t="n"/>
      <c r="B2606" s="23" t="n"/>
      <c r="C2606" s="24" t="n"/>
      <c r="D2606" s="17" t="n"/>
      <c r="E2606" s="17" t="n"/>
      <c r="F2606" s="17" t="n"/>
      <c r="G2606" s="15" t="n"/>
      <c r="H2606" s="25">
        <f>IF(G2606="","",SUMIF(C$2:C2606,"Masuk",G$2:G2606)-SUMIF(C$2:C2606,"Keluar",G$2:G2606))</f>
        <v/>
      </c>
    </row>
    <row r="2607">
      <c r="A2607" s="26" t="n"/>
      <c r="B2607" s="27" t="n"/>
      <c r="C2607" s="28" t="n"/>
      <c r="D2607" s="29" t="n"/>
      <c r="E2607" s="29" t="n"/>
      <c r="F2607" s="29" t="n"/>
      <c r="G2607" s="30" t="n"/>
      <c r="H2607" s="31">
        <f>IF(G2607="","",SUMIF(C$2:C2607,"Masuk",G$2:G2607)-SUMIF(C$2:C2607,"Keluar",G$2:G2607))</f>
        <v/>
      </c>
    </row>
    <row r="2608">
      <c r="A2608" s="22" t="n"/>
      <c r="B2608" s="23" t="n"/>
      <c r="C2608" s="24" t="n"/>
      <c r="D2608" s="17" t="n"/>
      <c r="E2608" s="17" t="n"/>
      <c r="F2608" s="17" t="n"/>
      <c r="G2608" s="15" t="n"/>
      <c r="H2608" s="25">
        <f>IF(G2608="","",SUMIF(C$2:C2608,"Masuk",G$2:G2608)-SUMIF(C$2:C2608,"Keluar",G$2:G2608))</f>
        <v/>
      </c>
    </row>
    <row r="2609">
      <c r="A2609" s="26" t="n"/>
      <c r="B2609" s="27" t="n"/>
      <c r="C2609" s="28" t="n"/>
      <c r="D2609" s="29" t="n"/>
      <c r="E2609" s="29" t="n"/>
      <c r="F2609" s="29" t="n"/>
      <c r="G2609" s="30" t="n"/>
      <c r="H2609" s="31">
        <f>IF(G2609="","",SUMIF(C$2:C2609,"Masuk",G$2:G2609)-SUMIF(C$2:C2609,"Keluar",G$2:G2609))</f>
        <v/>
      </c>
    </row>
    <row r="2610">
      <c r="A2610" s="22" t="n"/>
      <c r="B2610" s="23" t="n"/>
      <c r="C2610" s="24" t="n"/>
      <c r="D2610" s="17" t="n"/>
      <c r="E2610" s="17" t="n"/>
      <c r="F2610" s="17" t="n"/>
      <c r="G2610" s="15" t="n"/>
      <c r="H2610" s="25">
        <f>IF(G2610="","",SUMIF(C$2:C2610,"Masuk",G$2:G2610)-SUMIF(C$2:C2610,"Keluar",G$2:G2610))</f>
        <v/>
      </c>
    </row>
    <row r="2611">
      <c r="A2611" s="26" t="n"/>
      <c r="B2611" s="27" t="n"/>
      <c r="C2611" s="28" t="n"/>
      <c r="D2611" s="29" t="n"/>
      <c r="E2611" s="29" t="n"/>
      <c r="F2611" s="29" t="n"/>
      <c r="G2611" s="30" t="n"/>
      <c r="H2611" s="31">
        <f>IF(G2611="","",SUMIF(C$2:C2611,"Masuk",G$2:G2611)-SUMIF(C$2:C2611,"Keluar",G$2:G2611))</f>
        <v/>
      </c>
    </row>
    <row r="2612">
      <c r="A2612" s="22" t="n"/>
      <c r="B2612" s="23" t="n"/>
      <c r="C2612" s="24" t="n"/>
      <c r="D2612" s="17" t="n"/>
      <c r="E2612" s="17" t="n"/>
      <c r="F2612" s="17" t="n"/>
      <c r="G2612" s="15" t="n"/>
      <c r="H2612" s="25">
        <f>IF(G2612="","",SUMIF(C$2:C2612,"Masuk",G$2:G2612)-SUMIF(C$2:C2612,"Keluar",G$2:G2612))</f>
        <v/>
      </c>
    </row>
    <row r="2613">
      <c r="A2613" s="26" t="n"/>
      <c r="B2613" s="27" t="n"/>
      <c r="C2613" s="28" t="n"/>
      <c r="D2613" s="29" t="n"/>
      <c r="E2613" s="29" t="n"/>
      <c r="F2613" s="29" t="n"/>
      <c r="G2613" s="30" t="n"/>
      <c r="H2613" s="31">
        <f>IF(G2613="","",SUMIF(C$2:C2613,"Masuk",G$2:G2613)-SUMIF(C$2:C2613,"Keluar",G$2:G2613))</f>
        <v/>
      </c>
    </row>
    <row r="2614">
      <c r="A2614" s="22" t="n"/>
      <c r="B2614" s="23" t="n"/>
      <c r="C2614" s="24" t="n"/>
      <c r="D2614" s="17" t="n"/>
      <c r="E2614" s="17" t="n"/>
      <c r="F2614" s="17" t="n"/>
      <c r="G2614" s="15" t="n"/>
      <c r="H2614" s="25">
        <f>IF(G2614="","",SUMIF(C$2:C2614,"Masuk",G$2:G2614)-SUMIF(C$2:C2614,"Keluar",G$2:G2614))</f>
        <v/>
      </c>
    </row>
    <row r="2615">
      <c r="A2615" s="26" t="n"/>
      <c r="B2615" s="27" t="n"/>
      <c r="C2615" s="28" t="n"/>
      <c r="D2615" s="29" t="n"/>
      <c r="E2615" s="29" t="n"/>
      <c r="F2615" s="29" t="n"/>
      <c r="G2615" s="30" t="n"/>
      <c r="H2615" s="31">
        <f>IF(G2615="","",SUMIF(C$2:C2615,"Masuk",G$2:G2615)-SUMIF(C$2:C2615,"Keluar",G$2:G2615))</f>
        <v/>
      </c>
    </row>
    <row r="2616">
      <c r="A2616" s="22" t="n"/>
      <c r="B2616" s="23" t="n"/>
      <c r="C2616" s="24" t="n"/>
      <c r="D2616" s="17" t="n"/>
      <c r="E2616" s="17" t="n"/>
      <c r="F2616" s="17" t="n"/>
      <c r="G2616" s="15" t="n"/>
      <c r="H2616" s="25">
        <f>IF(G2616="","",SUMIF(C$2:C2616,"Masuk",G$2:G2616)-SUMIF(C$2:C2616,"Keluar",G$2:G2616))</f>
        <v/>
      </c>
    </row>
    <row r="2617">
      <c r="A2617" s="26" t="n"/>
      <c r="B2617" s="27" t="n"/>
      <c r="C2617" s="28" t="n"/>
      <c r="D2617" s="29" t="n"/>
      <c r="E2617" s="29" t="n"/>
      <c r="F2617" s="29" t="n"/>
      <c r="G2617" s="30" t="n"/>
      <c r="H2617" s="31">
        <f>IF(G2617="","",SUMIF(C$2:C2617,"Masuk",G$2:G2617)-SUMIF(C$2:C2617,"Keluar",G$2:G2617))</f>
        <v/>
      </c>
    </row>
    <row r="2618">
      <c r="A2618" s="22" t="n"/>
      <c r="B2618" s="23" t="n"/>
      <c r="C2618" s="24" t="n"/>
      <c r="D2618" s="17" t="n"/>
      <c r="E2618" s="17" t="n"/>
      <c r="F2618" s="17" t="n"/>
      <c r="G2618" s="15" t="n"/>
      <c r="H2618" s="25">
        <f>IF(G2618="","",SUMIF(C$2:C2618,"Masuk",G$2:G2618)-SUMIF(C$2:C2618,"Keluar",G$2:G2618))</f>
        <v/>
      </c>
    </row>
    <row r="2619">
      <c r="A2619" s="26" t="n"/>
      <c r="B2619" s="27" t="n"/>
      <c r="C2619" s="28" t="n"/>
      <c r="D2619" s="29" t="n"/>
      <c r="E2619" s="29" t="n"/>
      <c r="F2619" s="29" t="n"/>
      <c r="G2619" s="30" t="n"/>
      <c r="H2619" s="31">
        <f>IF(G2619="","",SUMIF(C$2:C2619,"Masuk",G$2:G2619)-SUMIF(C$2:C2619,"Keluar",G$2:G2619))</f>
        <v/>
      </c>
    </row>
    <row r="2620">
      <c r="A2620" s="22" t="n"/>
      <c r="B2620" s="23" t="n"/>
      <c r="C2620" s="24" t="n"/>
      <c r="D2620" s="17" t="n"/>
      <c r="E2620" s="17" t="n"/>
      <c r="F2620" s="17" t="n"/>
      <c r="G2620" s="15" t="n"/>
      <c r="H2620" s="25">
        <f>IF(G2620="","",SUMIF(C$2:C2620,"Masuk",G$2:G2620)-SUMIF(C$2:C2620,"Keluar",G$2:G2620))</f>
        <v/>
      </c>
    </row>
    <row r="2621">
      <c r="A2621" s="26" t="n"/>
      <c r="B2621" s="27" t="n"/>
      <c r="C2621" s="28" t="n"/>
      <c r="D2621" s="29" t="n"/>
      <c r="E2621" s="29" t="n"/>
      <c r="F2621" s="29" t="n"/>
      <c r="G2621" s="30" t="n"/>
      <c r="H2621" s="31">
        <f>IF(G2621="","",SUMIF(C$2:C2621,"Masuk",G$2:G2621)-SUMIF(C$2:C2621,"Keluar",G$2:G2621))</f>
        <v/>
      </c>
    </row>
    <row r="2622">
      <c r="A2622" s="22" t="n"/>
      <c r="B2622" s="23" t="n"/>
      <c r="C2622" s="24" t="n"/>
      <c r="D2622" s="17" t="n"/>
      <c r="E2622" s="17" t="n"/>
      <c r="F2622" s="17" t="n"/>
      <c r="G2622" s="15" t="n"/>
      <c r="H2622" s="25">
        <f>IF(G2622="","",SUMIF(C$2:C2622,"Masuk",G$2:G2622)-SUMIF(C$2:C2622,"Keluar",G$2:G2622))</f>
        <v/>
      </c>
    </row>
    <row r="2623">
      <c r="A2623" s="26" t="n"/>
      <c r="B2623" s="27" t="n"/>
      <c r="C2623" s="28" t="n"/>
      <c r="D2623" s="29" t="n"/>
      <c r="E2623" s="29" t="n"/>
      <c r="F2623" s="29" t="n"/>
      <c r="G2623" s="30" t="n"/>
      <c r="H2623" s="31">
        <f>IF(G2623="","",SUMIF(C$2:C2623,"Masuk",G$2:G2623)-SUMIF(C$2:C2623,"Keluar",G$2:G2623))</f>
        <v/>
      </c>
    </row>
    <row r="2624">
      <c r="A2624" s="22" t="n"/>
      <c r="B2624" s="23" t="n"/>
      <c r="C2624" s="24" t="n"/>
      <c r="D2624" s="17" t="n"/>
      <c r="E2624" s="17" t="n"/>
      <c r="F2624" s="17" t="n"/>
      <c r="G2624" s="15" t="n"/>
      <c r="H2624" s="25">
        <f>IF(G2624="","",SUMIF(C$2:C2624,"Masuk",G$2:G2624)-SUMIF(C$2:C2624,"Keluar",G$2:G2624))</f>
        <v/>
      </c>
    </row>
    <row r="2625">
      <c r="A2625" s="26" t="n"/>
      <c r="B2625" s="27" t="n"/>
      <c r="C2625" s="28" t="n"/>
      <c r="D2625" s="29" t="n"/>
      <c r="E2625" s="29" t="n"/>
      <c r="F2625" s="29" t="n"/>
      <c r="G2625" s="30" t="n"/>
      <c r="H2625" s="31">
        <f>IF(G2625="","",SUMIF(C$2:C2625,"Masuk",G$2:G2625)-SUMIF(C$2:C2625,"Keluar",G$2:G2625))</f>
        <v/>
      </c>
    </row>
    <row r="2626">
      <c r="A2626" s="22" t="n"/>
      <c r="B2626" s="23" t="n"/>
      <c r="C2626" s="24" t="n"/>
      <c r="D2626" s="17" t="n"/>
      <c r="E2626" s="17" t="n"/>
      <c r="F2626" s="17" t="n"/>
      <c r="G2626" s="15" t="n"/>
      <c r="H2626" s="25">
        <f>IF(G2626="","",SUMIF(C$2:C2626,"Masuk",G$2:G2626)-SUMIF(C$2:C2626,"Keluar",G$2:G2626))</f>
        <v/>
      </c>
    </row>
    <row r="2627">
      <c r="A2627" s="26" t="n"/>
      <c r="B2627" s="27" t="n"/>
      <c r="C2627" s="28" t="n"/>
      <c r="D2627" s="29" t="n"/>
      <c r="E2627" s="29" t="n"/>
      <c r="F2627" s="29" t="n"/>
      <c r="G2627" s="30" t="n"/>
      <c r="H2627" s="31">
        <f>IF(G2627="","",SUMIF(C$2:C2627,"Masuk",G$2:G2627)-SUMIF(C$2:C2627,"Keluar",G$2:G2627))</f>
        <v/>
      </c>
    </row>
    <row r="2628">
      <c r="A2628" s="22" t="n"/>
      <c r="B2628" s="23" t="n"/>
      <c r="C2628" s="24" t="n"/>
      <c r="D2628" s="17" t="n"/>
      <c r="E2628" s="17" t="n"/>
      <c r="F2628" s="17" t="n"/>
      <c r="G2628" s="15" t="n"/>
      <c r="H2628" s="25">
        <f>IF(G2628="","",SUMIF(C$2:C2628,"Masuk",G$2:G2628)-SUMIF(C$2:C2628,"Keluar",G$2:G2628))</f>
        <v/>
      </c>
    </row>
    <row r="2629">
      <c r="A2629" s="26" t="n"/>
      <c r="B2629" s="27" t="n"/>
      <c r="C2629" s="28" t="n"/>
      <c r="D2629" s="29" t="n"/>
      <c r="E2629" s="29" t="n"/>
      <c r="F2629" s="29" t="n"/>
      <c r="G2629" s="30" t="n"/>
      <c r="H2629" s="31">
        <f>IF(G2629="","",SUMIF(C$2:C2629,"Masuk",G$2:G2629)-SUMIF(C$2:C2629,"Keluar",G$2:G2629))</f>
        <v/>
      </c>
    </row>
    <row r="2630">
      <c r="A2630" s="22" t="n"/>
      <c r="B2630" s="23" t="n"/>
      <c r="C2630" s="24" t="n"/>
      <c r="D2630" s="17" t="n"/>
      <c r="E2630" s="17" t="n"/>
      <c r="F2630" s="17" t="n"/>
      <c r="G2630" s="15" t="n"/>
      <c r="H2630" s="25">
        <f>IF(G2630="","",SUMIF(C$2:C2630,"Masuk",G$2:G2630)-SUMIF(C$2:C2630,"Keluar",G$2:G2630))</f>
        <v/>
      </c>
    </row>
    <row r="2631">
      <c r="A2631" s="26" t="n"/>
      <c r="B2631" s="27" t="n"/>
      <c r="C2631" s="28" t="n"/>
      <c r="D2631" s="29" t="n"/>
      <c r="E2631" s="29" t="n"/>
      <c r="F2631" s="29" t="n"/>
      <c r="G2631" s="30" t="n"/>
      <c r="H2631" s="31">
        <f>IF(G2631="","",SUMIF(C$2:C2631,"Masuk",G$2:G2631)-SUMIF(C$2:C2631,"Keluar",G$2:G2631))</f>
        <v/>
      </c>
    </row>
    <row r="2632">
      <c r="A2632" s="22" t="n"/>
      <c r="B2632" s="23" t="n"/>
      <c r="C2632" s="24" t="n"/>
      <c r="D2632" s="17" t="n"/>
      <c r="E2632" s="17" t="n"/>
      <c r="F2632" s="17" t="n"/>
      <c r="G2632" s="15" t="n"/>
      <c r="H2632" s="25">
        <f>IF(G2632="","",SUMIF(C$2:C2632,"Masuk",G$2:G2632)-SUMIF(C$2:C2632,"Keluar",G$2:G2632))</f>
        <v/>
      </c>
    </row>
    <row r="2633">
      <c r="A2633" s="26" t="n"/>
      <c r="B2633" s="27" t="n"/>
      <c r="C2633" s="28" t="n"/>
      <c r="D2633" s="29" t="n"/>
      <c r="E2633" s="29" t="n"/>
      <c r="F2633" s="29" t="n"/>
      <c r="G2633" s="30" t="n"/>
      <c r="H2633" s="31">
        <f>IF(G2633="","",SUMIF(C$2:C2633,"Masuk",G$2:G2633)-SUMIF(C$2:C2633,"Keluar",G$2:G2633))</f>
        <v/>
      </c>
    </row>
    <row r="2634">
      <c r="A2634" s="22" t="n"/>
      <c r="B2634" s="23" t="n"/>
      <c r="C2634" s="24" t="n"/>
      <c r="D2634" s="17" t="n"/>
      <c r="E2634" s="17" t="n"/>
      <c r="F2634" s="17" t="n"/>
      <c r="G2634" s="15" t="n"/>
      <c r="H2634" s="25">
        <f>IF(G2634="","",SUMIF(C$2:C2634,"Masuk",G$2:G2634)-SUMIF(C$2:C2634,"Keluar",G$2:G2634))</f>
        <v/>
      </c>
    </row>
    <row r="2635">
      <c r="A2635" s="26" t="n"/>
      <c r="B2635" s="27" t="n"/>
      <c r="C2635" s="28" t="n"/>
      <c r="D2635" s="29" t="n"/>
      <c r="E2635" s="29" t="n"/>
      <c r="F2635" s="29" t="n"/>
      <c r="G2635" s="30" t="n"/>
      <c r="H2635" s="31">
        <f>IF(G2635="","",SUMIF(C$2:C2635,"Masuk",G$2:G2635)-SUMIF(C$2:C2635,"Keluar",G$2:G2635))</f>
        <v/>
      </c>
    </row>
    <row r="2636">
      <c r="A2636" s="22" t="n"/>
      <c r="B2636" s="23" t="n"/>
      <c r="C2636" s="24" t="n"/>
      <c r="D2636" s="17" t="n"/>
      <c r="E2636" s="17" t="n"/>
      <c r="F2636" s="17" t="n"/>
      <c r="G2636" s="15" t="n"/>
      <c r="H2636" s="25">
        <f>IF(G2636="","",SUMIF(C$2:C2636,"Masuk",G$2:G2636)-SUMIF(C$2:C2636,"Keluar",G$2:G2636))</f>
        <v/>
      </c>
    </row>
    <row r="2637">
      <c r="A2637" s="26" t="n"/>
      <c r="B2637" s="27" t="n"/>
      <c r="C2637" s="28" t="n"/>
      <c r="D2637" s="29" t="n"/>
      <c r="E2637" s="29" t="n"/>
      <c r="F2637" s="29" t="n"/>
      <c r="G2637" s="30" t="n"/>
      <c r="H2637" s="31">
        <f>IF(G2637="","",SUMIF(C$2:C2637,"Masuk",G$2:G2637)-SUMIF(C$2:C2637,"Keluar",G$2:G2637))</f>
        <v/>
      </c>
    </row>
    <row r="2638">
      <c r="A2638" s="22" t="n"/>
      <c r="B2638" s="23" t="n"/>
      <c r="C2638" s="24" t="n"/>
      <c r="D2638" s="17" t="n"/>
      <c r="E2638" s="17" t="n"/>
      <c r="F2638" s="17" t="n"/>
      <c r="G2638" s="15" t="n"/>
      <c r="H2638" s="25">
        <f>IF(G2638="","",SUMIF(C$2:C2638,"Masuk",G$2:G2638)-SUMIF(C$2:C2638,"Keluar",G$2:G2638))</f>
        <v/>
      </c>
    </row>
    <row r="2639">
      <c r="A2639" s="26" t="n"/>
      <c r="B2639" s="27" t="n"/>
      <c r="C2639" s="28" t="n"/>
      <c r="D2639" s="29" t="n"/>
      <c r="E2639" s="29" t="n"/>
      <c r="F2639" s="29" t="n"/>
      <c r="G2639" s="30" t="n"/>
      <c r="H2639" s="31">
        <f>IF(G2639="","",SUMIF(C$2:C2639,"Masuk",G$2:G2639)-SUMIF(C$2:C2639,"Keluar",G$2:G2639))</f>
        <v/>
      </c>
    </row>
    <row r="2640">
      <c r="A2640" s="22" t="n"/>
      <c r="B2640" s="23" t="n"/>
      <c r="C2640" s="24" t="n"/>
      <c r="D2640" s="17" t="n"/>
      <c r="E2640" s="17" t="n"/>
      <c r="F2640" s="17" t="n"/>
      <c r="G2640" s="15" t="n"/>
      <c r="H2640" s="25">
        <f>IF(G2640="","",SUMIF(C$2:C2640,"Masuk",G$2:G2640)-SUMIF(C$2:C2640,"Keluar",G$2:G2640))</f>
        <v/>
      </c>
    </row>
    <row r="2641">
      <c r="A2641" s="26" t="n"/>
      <c r="B2641" s="27" t="n"/>
      <c r="C2641" s="28" t="n"/>
      <c r="D2641" s="29" t="n"/>
      <c r="E2641" s="29" t="n"/>
      <c r="F2641" s="29" t="n"/>
      <c r="G2641" s="30" t="n"/>
      <c r="H2641" s="31">
        <f>IF(G2641="","",SUMIF(C$2:C2641,"Masuk",G$2:G2641)-SUMIF(C$2:C2641,"Keluar",G$2:G2641))</f>
        <v/>
      </c>
    </row>
    <row r="2642">
      <c r="A2642" s="22" t="n"/>
      <c r="B2642" s="23" t="n"/>
      <c r="C2642" s="24" t="n"/>
      <c r="D2642" s="17" t="n"/>
      <c r="E2642" s="17" t="n"/>
      <c r="F2642" s="17" t="n"/>
      <c r="G2642" s="15" t="n"/>
      <c r="H2642" s="25">
        <f>IF(G2642="","",SUMIF(C$2:C2642,"Masuk",G$2:G2642)-SUMIF(C$2:C2642,"Keluar",G$2:G2642))</f>
        <v/>
      </c>
    </row>
    <row r="2643">
      <c r="A2643" s="26" t="n"/>
      <c r="B2643" s="27" t="n"/>
      <c r="C2643" s="28" t="n"/>
      <c r="D2643" s="29" t="n"/>
      <c r="E2643" s="29" t="n"/>
      <c r="F2643" s="29" t="n"/>
      <c r="G2643" s="30" t="n"/>
      <c r="H2643" s="31">
        <f>IF(G2643="","",SUMIF(C$2:C2643,"Masuk",G$2:G2643)-SUMIF(C$2:C2643,"Keluar",G$2:G2643))</f>
        <v/>
      </c>
    </row>
    <row r="2644">
      <c r="A2644" s="22" t="n"/>
      <c r="B2644" s="23" t="n"/>
      <c r="C2644" s="24" t="n"/>
      <c r="D2644" s="17" t="n"/>
      <c r="E2644" s="17" t="n"/>
      <c r="F2644" s="17" t="n"/>
      <c r="G2644" s="15" t="n"/>
      <c r="H2644" s="25">
        <f>IF(G2644="","",SUMIF(C$2:C2644,"Masuk",G$2:G2644)-SUMIF(C$2:C2644,"Keluar",G$2:G2644))</f>
        <v/>
      </c>
    </row>
    <row r="2645">
      <c r="A2645" s="26" t="n"/>
      <c r="B2645" s="27" t="n"/>
      <c r="C2645" s="28" t="n"/>
      <c r="D2645" s="29" t="n"/>
      <c r="E2645" s="29" t="n"/>
      <c r="F2645" s="29" t="n"/>
      <c r="G2645" s="30" t="n"/>
      <c r="H2645" s="31">
        <f>IF(G2645="","",SUMIF(C$2:C2645,"Masuk",G$2:G2645)-SUMIF(C$2:C2645,"Keluar",G$2:G2645))</f>
        <v/>
      </c>
    </row>
    <row r="2646">
      <c r="A2646" s="22" t="n"/>
      <c r="B2646" s="23" t="n"/>
      <c r="C2646" s="24" t="n"/>
      <c r="D2646" s="17" t="n"/>
      <c r="E2646" s="17" t="n"/>
      <c r="F2646" s="17" t="n"/>
      <c r="G2646" s="15" t="n"/>
      <c r="H2646" s="25">
        <f>IF(G2646="","",SUMIF(C$2:C2646,"Masuk",G$2:G2646)-SUMIF(C$2:C2646,"Keluar",G$2:G2646))</f>
        <v/>
      </c>
    </row>
    <row r="2647">
      <c r="A2647" s="26" t="n"/>
      <c r="B2647" s="27" t="n"/>
      <c r="C2647" s="28" t="n"/>
      <c r="D2647" s="29" t="n"/>
      <c r="E2647" s="29" t="n"/>
      <c r="F2647" s="29" t="n"/>
      <c r="G2647" s="30" t="n"/>
      <c r="H2647" s="31">
        <f>IF(G2647="","",SUMIF(C$2:C2647,"Masuk",G$2:G2647)-SUMIF(C$2:C2647,"Keluar",G$2:G2647))</f>
        <v/>
      </c>
    </row>
    <row r="2648">
      <c r="A2648" s="22" t="n"/>
      <c r="B2648" s="23" t="n"/>
      <c r="C2648" s="24" t="n"/>
      <c r="D2648" s="17" t="n"/>
      <c r="E2648" s="17" t="n"/>
      <c r="F2648" s="17" t="n"/>
      <c r="G2648" s="15" t="n"/>
      <c r="H2648" s="25">
        <f>IF(G2648="","",SUMIF(C$2:C2648,"Masuk",G$2:G2648)-SUMIF(C$2:C2648,"Keluar",G$2:G2648))</f>
        <v/>
      </c>
    </row>
    <row r="2649">
      <c r="A2649" s="26" t="n"/>
      <c r="B2649" s="27" t="n"/>
      <c r="C2649" s="28" t="n"/>
      <c r="D2649" s="29" t="n"/>
      <c r="E2649" s="29" t="n"/>
      <c r="F2649" s="29" t="n"/>
      <c r="G2649" s="30" t="n"/>
      <c r="H2649" s="31">
        <f>IF(G2649="","",SUMIF(C$2:C2649,"Masuk",G$2:G2649)-SUMIF(C$2:C2649,"Keluar",G$2:G2649))</f>
        <v/>
      </c>
    </row>
    <row r="2650">
      <c r="A2650" s="22" t="n"/>
      <c r="B2650" s="23" t="n"/>
      <c r="C2650" s="24" t="n"/>
      <c r="D2650" s="17" t="n"/>
      <c r="E2650" s="17" t="n"/>
      <c r="F2650" s="17" t="n"/>
      <c r="G2650" s="15" t="n"/>
      <c r="H2650" s="25">
        <f>IF(G2650="","",SUMIF(C$2:C2650,"Masuk",G$2:G2650)-SUMIF(C$2:C2650,"Keluar",G$2:G2650))</f>
        <v/>
      </c>
    </row>
    <row r="2651">
      <c r="A2651" s="26" t="n"/>
      <c r="B2651" s="27" t="n"/>
      <c r="C2651" s="28" t="n"/>
      <c r="D2651" s="29" t="n"/>
      <c r="E2651" s="29" t="n"/>
      <c r="F2651" s="29" t="n"/>
      <c r="G2651" s="30" t="n"/>
      <c r="H2651" s="31">
        <f>IF(G2651="","",SUMIF(C$2:C2651,"Masuk",G$2:G2651)-SUMIF(C$2:C2651,"Keluar",G$2:G2651))</f>
        <v/>
      </c>
    </row>
    <row r="2652">
      <c r="A2652" s="22" t="n"/>
      <c r="B2652" s="23" t="n"/>
      <c r="C2652" s="24" t="n"/>
      <c r="D2652" s="17" t="n"/>
      <c r="E2652" s="17" t="n"/>
      <c r="F2652" s="17" t="n"/>
      <c r="G2652" s="15" t="n"/>
      <c r="H2652" s="25">
        <f>IF(G2652="","",SUMIF(C$2:C2652,"Masuk",G$2:G2652)-SUMIF(C$2:C2652,"Keluar",G$2:G2652))</f>
        <v/>
      </c>
    </row>
    <row r="2653">
      <c r="A2653" s="26" t="n"/>
      <c r="B2653" s="27" t="n"/>
      <c r="C2653" s="28" t="n"/>
      <c r="D2653" s="29" t="n"/>
      <c r="E2653" s="29" t="n"/>
      <c r="F2653" s="29" t="n"/>
      <c r="G2653" s="30" t="n"/>
      <c r="H2653" s="31">
        <f>IF(G2653="","",SUMIF(C$2:C2653,"Masuk",G$2:G2653)-SUMIF(C$2:C2653,"Keluar",G$2:G2653))</f>
        <v/>
      </c>
    </row>
    <row r="2654">
      <c r="A2654" s="22" t="n"/>
      <c r="B2654" s="23" t="n"/>
      <c r="C2654" s="24" t="n"/>
      <c r="D2654" s="17" t="n"/>
      <c r="E2654" s="17" t="n"/>
      <c r="F2654" s="17" t="n"/>
      <c r="G2654" s="15" t="n"/>
      <c r="H2654" s="25">
        <f>IF(G2654="","",SUMIF(C$2:C2654,"Masuk",G$2:G2654)-SUMIF(C$2:C2654,"Keluar",G$2:G2654))</f>
        <v/>
      </c>
    </row>
    <row r="2655">
      <c r="A2655" s="26" t="n"/>
      <c r="B2655" s="27" t="n"/>
      <c r="C2655" s="28" t="n"/>
      <c r="D2655" s="29" t="n"/>
      <c r="E2655" s="29" t="n"/>
      <c r="F2655" s="29" t="n"/>
      <c r="G2655" s="30" t="n"/>
      <c r="H2655" s="31">
        <f>IF(G2655="","",SUMIF(C$2:C2655,"Masuk",G$2:G2655)-SUMIF(C$2:C2655,"Keluar",G$2:G2655))</f>
        <v/>
      </c>
    </row>
    <row r="2656">
      <c r="A2656" s="22" t="n"/>
      <c r="B2656" s="23" t="n"/>
      <c r="C2656" s="24" t="n"/>
      <c r="D2656" s="17" t="n"/>
      <c r="E2656" s="17" t="n"/>
      <c r="F2656" s="17" t="n"/>
      <c r="G2656" s="15" t="n"/>
      <c r="H2656" s="25">
        <f>IF(G2656="","",SUMIF(C$2:C2656,"Masuk",G$2:G2656)-SUMIF(C$2:C2656,"Keluar",G$2:G2656))</f>
        <v/>
      </c>
    </row>
    <row r="2657">
      <c r="A2657" s="26" t="n"/>
      <c r="B2657" s="27" t="n"/>
      <c r="C2657" s="28" t="n"/>
      <c r="D2657" s="29" t="n"/>
      <c r="E2657" s="29" t="n"/>
      <c r="F2657" s="29" t="n"/>
      <c r="G2657" s="30" t="n"/>
      <c r="H2657" s="31">
        <f>IF(G2657="","",SUMIF(C$2:C2657,"Masuk",G$2:G2657)-SUMIF(C$2:C2657,"Keluar",G$2:G2657))</f>
        <v/>
      </c>
    </row>
    <row r="2658">
      <c r="A2658" s="22" t="n"/>
      <c r="B2658" s="23" t="n"/>
      <c r="C2658" s="24" t="n"/>
      <c r="D2658" s="17" t="n"/>
      <c r="E2658" s="17" t="n"/>
      <c r="F2658" s="17" t="n"/>
      <c r="G2658" s="15" t="n"/>
      <c r="H2658" s="25">
        <f>IF(G2658="","",SUMIF(C$2:C2658,"Masuk",G$2:G2658)-SUMIF(C$2:C2658,"Keluar",G$2:G2658))</f>
        <v/>
      </c>
    </row>
    <row r="2659">
      <c r="A2659" s="26" t="n"/>
      <c r="B2659" s="27" t="n"/>
      <c r="C2659" s="28" t="n"/>
      <c r="D2659" s="29" t="n"/>
      <c r="E2659" s="29" t="n"/>
      <c r="F2659" s="29" t="n"/>
      <c r="G2659" s="30" t="n"/>
      <c r="H2659" s="31">
        <f>IF(G2659="","",SUMIF(C$2:C2659,"Masuk",G$2:G2659)-SUMIF(C$2:C2659,"Keluar",G$2:G2659))</f>
        <v/>
      </c>
    </row>
    <row r="2660">
      <c r="A2660" s="22" t="n"/>
      <c r="B2660" s="23" t="n"/>
      <c r="C2660" s="24" t="n"/>
      <c r="D2660" s="17" t="n"/>
      <c r="E2660" s="17" t="n"/>
      <c r="F2660" s="17" t="n"/>
      <c r="G2660" s="15" t="n"/>
      <c r="H2660" s="25">
        <f>IF(G2660="","",SUMIF(C$2:C2660,"Masuk",G$2:G2660)-SUMIF(C$2:C2660,"Keluar",G$2:G2660))</f>
        <v/>
      </c>
    </row>
    <row r="2661">
      <c r="A2661" s="26" t="n"/>
      <c r="B2661" s="27" t="n"/>
      <c r="C2661" s="28" t="n"/>
      <c r="D2661" s="29" t="n"/>
      <c r="E2661" s="29" t="n"/>
      <c r="F2661" s="29" t="n"/>
      <c r="G2661" s="30" t="n"/>
      <c r="H2661" s="31">
        <f>IF(G2661="","",SUMIF(C$2:C2661,"Masuk",G$2:G2661)-SUMIF(C$2:C2661,"Keluar",G$2:G2661))</f>
        <v/>
      </c>
    </row>
    <row r="2662">
      <c r="A2662" s="22" t="n"/>
      <c r="B2662" s="23" t="n"/>
      <c r="C2662" s="24" t="n"/>
      <c r="D2662" s="17" t="n"/>
      <c r="E2662" s="17" t="n"/>
      <c r="F2662" s="17" t="n"/>
      <c r="G2662" s="15" t="n"/>
      <c r="H2662" s="25">
        <f>IF(G2662="","",SUMIF(C$2:C2662,"Masuk",G$2:G2662)-SUMIF(C$2:C2662,"Keluar",G$2:G2662))</f>
        <v/>
      </c>
    </row>
    <row r="2663">
      <c r="A2663" s="26" t="n"/>
      <c r="B2663" s="27" t="n"/>
      <c r="C2663" s="28" t="n"/>
      <c r="D2663" s="29" t="n"/>
      <c r="E2663" s="29" t="n"/>
      <c r="F2663" s="29" t="n"/>
      <c r="G2663" s="30" t="n"/>
      <c r="H2663" s="31">
        <f>IF(G2663="","",SUMIF(C$2:C2663,"Masuk",G$2:G2663)-SUMIF(C$2:C2663,"Keluar",G$2:G2663))</f>
        <v/>
      </c>
    </row>
    <row r="2664">
      <c r="A2664" s="22" t="n"/>
      <c r="B2664" s="23" t="n"/>
      <c r="C2664" s="24" t="n"/>
      <c r="D2664" s="17" t="n"/>
      <c r="E2664" s="17" t="n"/>
      <c r="F2664" s="17" t="n"/>
      <c r="G2664" s="15" t="n"/>
      <c r="H2664" s="25">
        <f>IF(G2664="","",SUMIF(C$2:C2664,"Masuk",G$2:G2664)-SUMIF(C$2:C2664,"Keluar",G$2:G2664))</f>
        <v/>
      </c>
    </row>
    <row r="2665">
      <c r="A2665" s="26" t="n"/>
      <c r="B2665" s="27" t="n"/>
      <c r="C2665" s="28" t="n"/>
      <c r="D2665" s="29" t="n"/>
      <c r="E2665" s="29" t="n"/>
      <c r="F2665" s="29" t="n"/>
      <c r="G2665" s="30" t="n"/>
      <c r="H2665" s="31">
        <f>IF(G2665="","",SUMIF(C$2:C2665,"Masuk",G$2:G2665)-SUMIF(C$2:C2665,"Keluar",G$2:G2665))</f>
        <v/>
      </c>
    </row>
    <row r="2666">
      <c r="A2666" s="22" t="n"/>
      <c r="B2666" s="23" t="n"/>
      <c r="C2666" s="24" t="n"/>
      <c r="D2666" s="17" t="n"/>
      <c r="E2666" s="17" t="n"/>
      <c r="F2666" s="17" t="n"/>
      <c r="G2666" s="15" t="n"/>
      <c r="H2666" s="25">
        <f>IF(G2666="","",SUMIF(C$2:C2666,"Masuk",G$2:G2666)-SUMIF(C$2:C2666,"Keluar",G$2:G2666))</f>
        <v/>
      </c>
    </row>
    <row r="2667">
      <c r="A2667" s="26" t="n"/>
      <c r="B2667" s="27" t="n"/>
      <c r="C2667" s="28" t="n"/>
      <c r="D2667" s="29" t="n"/>
      <c r="E2667" s="29" t="n"/>
      <c r="F2667" s="29" t="n"/>
      <c r="G2667" s="30" t="n"/>
      <c r="H2667" s="31">
        <f>IF(G2667="","",SUMIF(C$2:C2667,"Masuk",G$2:G2667)-SUMIF(C$2:C2667,"Keluar",G$2:G2667))</f>
        <v/>
      </c>
    </row>
    <row r="2668">
      <c r="A2668" s="22" t="n"/>
      <c r="B2668" s="23" t="n"/>
      <c r="C2668" s="24" t="n"/>
      <c r="D2668" s="17" t="n"/>
      <c r="E2668" s="17" t="n"/>
      <c r="F2668" s="17" t="n"/>
      <c r="G2668" s="15" t="n"/>
      <c r="H2668" s="25">
        <f>IF(G2668="","",SUMIF(C$2:C2668,"Masuk",G$2:G2668)-SUMIF(C$2:C2668,"Keluar",G$2:G2668))</f>
        <v/>
      </c>
    </row>
    <row r="2669">
      <c r="A2669" s="26" t="n"/>
      <c r="B2669" s="27" t="n"/>
      <c r="C2669" s="28" t="n"/>
      <c r="D2669" s="29" t="n"/>
      <c r="E2669" s="29" t="n"/>
      <c r="F2669" s="29" t="n"/>
      <c r="G2669" s="30" t="n"/>
      <c r="H2669" s="31">
        <f>IF(G2669="","",SUMIF(C$2:C2669,"Masuk",G$2:G2669)-SUMIF(C$2:C2669,"Keluar",G$2:G2669))</f>
        <v/>
      </c>
    </row>
    <row r="2670">
      <c r="A2670" s="22" t="n"/>
      <c r="B2670" s="23" t="n"/>
      <c r="C2670" s="24" t="n"/>
      <c r="D2670" s="17" t="n"/>
      <c r="E2670" s="17" t="n"/>
      <c r="F2670" s="17" t="n"/>
      <c r="G2670" s="15" t="n"/>
      <c r="H2670" s="25">
        <f>IF(G2670="","",SUMIF(C$2:C2670,"Masuk",G$2:G2670)-SUMIF(C$2:C2670,"Keluar",G$2:G2670))</f>
        <v/>
      </c>
    </row>
    <row r="2671">
      <c r="A2671" s="26" t="n"/>
      <c r="B2671" s="27" t="n"/>
      <c r="C2671" s="28" t="n"/>
      <c r="D2671" s="29" t="n"/>
      <c r="E2671" s="29" t="n"/>
      <c r="F2671" s="29" t="n"/>
      <c r="G2671" s="30" t="n"/>
      <c r="H2671" s="31">
        <f>IF(G2671="","",SUMIF(C$2:C2671,"Masuk",G$2:G2671)-SUMIF(C$2:C2671,"Keluar",G$2:G2671))</f>
        <v/>
      </c>
    </row>
    <row r="2672">
      <c r="A2672" s="22" t="n"/>
      <c r="B2672" s="23" t="n"/>
      <c r="C2672" s="24" t="n"/>
      <c r="D2672" s="17" t="n"/>
      <c r="E2672" s="17" t="n"/>
      <c r="F2672" s="17" t="n"/>
      <c r="G2672" s="15" t="n"/>
      <c r="H2672" s="25">
        <f>IF(G2672="","",SUMIF(C$2:C2672,"Masuk",G$2:G2672)-SUMIF(C$2:C2672,"Keluar",G$2:G2672))</f>
        <v/>
      </c>
    </row>
    <row r="2673">
      <c r="A2673" s="26" t="n"/>
      <c r="B2673" s="27" t="n"/>
      <c r="C2673" s="28" t="n"/>
      <c r="D2673" s="29" t="n"/>
      <c r="E2673" s="29" t="n"/>
      <c r="F2673" s="29" t="n"/>
      <c r="G2673" s="30" t="n"/>
      <c r="H2673" s="31">
        <f>IF(G2673="","",SUMIF(C$2:C2673,"Masuk",G$2:G2673)-SUMIF(C$2:C2673,"Keluar",G$2:G2673))</f>
        <v/>
      </c>
    </row>
    <row r="2674">
      <c r="A2674" s="22" t="n"/>
      <c r="B2674" s="23" t="n"/>
      <c r="C2674" s="24" t="n"/>
      <c r="D2674" s="17" t="n"/>
      <c r="E2674" s="17" t="n"/>
      <c r="F2674" s="17" t="n"/>
      <c r="G2674" s="15" t="n"/>
      <c r="H2674" s="25">
        <f>IF(G2674="","",SUMIF(C$2:C2674,"Masuk",G$2:G2674)-SUMIF(C$2:C2674,"Keluar",G$2:G2674))</f>
        <v/>
      </c>
    </row>
    <row r="2675">
      <c r="A2675" s="26" t="n"/>
      <c r="B2675" s="27" t="n"/>
      <c r="C2675" s="28" t="n"/>
      <c r="D2675" s="29" t="n"/>
      <c r="E2675" s="29" t="n"/>
      <c r="F2675" s="29" t="n"/>
      <c r="G2675" s="30" t="n"/>
      <c r="H2675" s="31">
        <f>IF(G2675="","",SUMIF(C$2:C2675,"Masuk",G$2:G2675)-SUMIF(C$2:C2675,"Keluar",G$2:G2675))</f>
        <v/>
      </c>
    </row>
    <row r="2676">
      <c r="A2676" s="22" t="n"/>
      <c r="B2676" s="23" t="n"/>
      <c r="C2676" s="24" t="n"/>
      <c r="D2676" s="17" t="n"/>
      <c r="E2676" s="17" t="n"/>
      <c r="F2676" s="17" t="n"/>
      <c r="G2676" s="15" t="n"/>
      <c r="H2676" s="25">
        <f>IF(G2676="","",SUMIF(C$2:C2676,"Masuk",G$2:G2676)-SUMIF(C$2:C2676,"Keluar",G$2:G2676))</f>
        <v/>
      </c>
    </row>
    <row r="2677">
      <c r="A2677" s="26" t="n"/>
      <c r="B2677" s="27" t="n"/>
      <c r="C2677" s="28" t="n"/>
      <c r="D2677" s="29" t="n"/>
      <c r="E2677" s="29" t="n"/>
      <c r="F2677" s="29" t="n"/>
      <c r="G2677" s="30" t="n"/>
      <c r="H2677" s="31">
        <f>IF(G2677="","",SUMIF(C$2:C2677,"Masuk",G$2:G2677)-SUMIF(C$2:C2677,"Keluar",G$2:G2677))</f>
        <v/>
      </c>
    </row>
    <row r="2678">
      <c r="A2678" s="22" t="n"/>
      <c r="B2678" s="23" t="n"/>
      <c r="C2678" s="24" t="n"/>
      <c r="D2678" s="17" t="n"/>
      <c r="E2678" s="17" t="n"/>
      <c r="F2678" s="17" t="n"/>
      <c r="G2678" s="15" t="n"/>
      <c r="H2678" s="25">
        <f>IF(G2678="","",SUMIF(C$2:C2678,"Masuk",G$2:G2678)-SUMIF(C$2:C2678,"Keluar",G$2:G2678))</f>
        <v/>
      </c>
    </row>
    <row r="2679">
      <c r="A2679" s="26" t="n"/>
      <c r="B2679" s="27" t="n"/>
      <c r="C2679" s="28" t="n"/>
      <c r="D2679" s="29" t="n"/>
      <c r="E2679" s="29" t="n"/>
      <c r="F2679" s="29" t="n"/>
      <c r="G2679" s="30" t="n"/>
      <c r="H2679" s="31">
        <f>IF(G2679="","",SUMIF(C$2:C2679,"Masuk",G$2:G2679)-SUMIF(C$2:C2679,"Keluar",G$2:G2679))</f>
        <v/>
      </c>
    </row>
    <row r="2680">
      <c r="A2680" s="22" t="n"/>
      <c r="B2680" s="23" t="n"/>
      <c r="C2680" s="24" t="n"/>
      <c r="D2680" s="17" t="n"/>
      <c r="E2680" s="17" t="n"/>
      <c r="F2680" s="17" t="n"/>
      <c r="G2680" s="15" t="n"/>
      <c r="H2680" s="25">
        <f>IF(G2680="","",SUMIF(C$2:C2680,"Masuk",G$2:G2680)-SUMIF(C$2:C2680,"Keluar",G$2:G2680))</f>
        <v/>
      </c>
    </row>
    <row r="2681">
      <c r="A2681" s="26" t="n"/>
      <c r="B2681" s="27" t="n"/>
      <c r="C2681" s="28" t="n"/>
      <c r="D2681" s="29" t="n"/>
      <c r="E2681" s="29" t="n"/>
      <c r="F2681" s="29" t="n"/>
      <c r="G2681" s="30" t="n"/>
      <c r="H2681" s="31">
        <f>IF(G2681="","",SUMIF(C$2:C2681,"Masuk",G$2:G2681)-SUMIF(C$2:C2681,"Keluar",G$2:G2681))</f>
        <v/>
      </c>
    </row>
    <row r="2682">
      <c r="A2682" s="22" t="n"/>
      <c r="B2682" s="23" t="n"/>
      <c r="C2682" s="24" t="n"/>
      <c r="D2682" s="17" t="n"/>
      <c r="E2682" s="17" t="n"/>
      <c r="F2682" s="17" t="n"/>
      <c r="G2682" s="15" t="n"/>
      <c r="H2682" s="25">
        <f>IF(G2682="","",SUMIF(C$2:C2682,"Masuk",G$2:G2682)-SUMIF(C$2:C2682,"Keluar",G$2:G2682))</f>
        <v/>
      </c>
    </row>
    <row r="2683">
      <c r="A2683" s="26" t="n"/>
      <c r="B2683" s="27" t="n"/>
      <c r="C2683" s="28" t="n"/>
      <c r="D2683" s="29" t="n"/>
      <c r="E2683" s="29" t="n"/>
      <c r="F2683" s="29" t="n"/>
      <c r="G2683" s="30" t="n"/>
      <c r="H2683" s="31">
        <f>IF(G2683="","",SUMIF(C$2:C2683,"Masuk",G$2:G2683)-SUMIF(C$2:C2683,"Keluar",G$2:G2683))</f>
        <v/>
      </c>
    </row>
    <row r="2684">
      <c r="A2684" s="22" t="n"/>
      <c r="B2684" s="23" t="n"/>
      <c r="C2684" s="24" t="n"/>
      <c r="D2684" s="17" t="n"/>
      <c r="E2684" s="17" t="n"/>
      <c r="F2684" s="17" t="n"/>
      <c r="G2684" s="15" t="n"/>
      <c r="H2684" s="25">
        <f>IF(G2684="","",SUMIF(C$2:C2684,"Masuk",G$2:G2684)-SUMIF(C$2:C2684,"Keluar",G$2:G2684))</f>
        <v/>
      </c>
    </row>
    <row r="2685">
      <c r="A2685" s="26" t="n"/>
      <c r="B2685" s="27" t="n"/>
      <c r="C2685" s="28" t="n"/>
      <c r="D2685" s="29" t="n"/>
      <c r="E2685" s="29" t="n"/>
      <c r="F2685" s="29" t="n"/>
      <c r="G2685" s="30" t="n"/>
      <c r="H2685" s="31">
        <f>IF(G2685="","",SUMIF(C$2:C2685,"Masuk",G$2:G2685)-SUMIF(C$2:C2685,"Keluar",G$2:G2685))</f>
        <v/>
      </c>
    </row>
    <row r="2686">
      <c r="A2686" s="22" t="n"/>
      <c r="B2686" s="23" t="n"/>
      <c r="C2686" s="24" t="n"/>
      <c r="D2686" s="17" t="n"/>
      <c r="E2686" s="17" t="n"/>
      <c r="F2686" s="17" t="n"/>
      <c r="G2686" s="15" t="n"/>
      <c r="H2686" s="25">
        <f>IF(G2686="","",SUMIF(C$2:C2686,"Masuk",G$2:G2686)-SUMIF(C$2:C2686,"Keluar",G$2:G2686))</f>
        <v/>
      </c>
    </row>
    <row r="2687">
      <c r="A2687" s="26" t="n"/>
      <c r="B2687" s="27" t="n"/>
      <c r="C2687" s="28" t="n"/>
      <c r="D2687" s="29" t="n"/>
      <c r="E2687" s="29" t="n"/>
      <c r="F2687" s="29" t="n"/>
      <c r="G2687" s="30" t="n"/>
      <c r="H2687" s="31">
        <f>IF(G2687="","",SUMIF(C$2:C2687,"Masuk",G$2:G2687)-SUMIF(C$2:C2687,"Keluar",G$2:G2687))</f>
        <v/>
      </c>
    </row>
    <row r="2688">
      <c r="A2688" s="22" t="n"/>
      <c r="B2688" s="23" t="n"/>
      <c r="C2688" s="24" t="n"/>
      <c r="D2688" s="17" t="n"/>
      <c r="E2688" s="17" t="n"/>
      <c r="F2688" s="17" t="n"/>
      <c r="G2688" s="15" t="n"/>
      <c r="H2688" s="25">
        <f>IF(G2688="","",SUMIF(C$2:C2688,"Masuk",G$2:G2688)-SUMIF(C$2:C2688,"Keluar",G$2:G2688))</f>
        <v/>
      </c>
    </row>
    <row r="2689">
      <c r="A2689" s="26" t="n"/>
      <c r="B2689" s="27" t="n"/>
      <c r="C2689" s="28" t="n"/>
      <c r="D2689" s="29" t="n"/>
      <c r="E2689" s="29" t="n"/>
      <c r="F2689" s="29" t="n"/>
      <c r="G2689" s="30" t="n"/>
      <c r="H2689" s="31">
        <f>IF(G2689="","",SUMIF(C$2:C2689,"Masuk",G$2:G2689)-SUMIF(C$2:C2689,"Keluar",G$2:G2689))</f>
        <v/>
      </c>
    </row>
    <row r="2690">
      <c r="A2690" s="22" t="n"/>
      <c r="B2690" s="23" t="n"/>
      <c r="C2690" s="24" t="n"/>
      <c r="D2690" s="17" t="n"/>
      <c r="E2690" s="17" t="n"/>
      <c r="F2690" s="17" t="n"/>
      <c r="G2690" s="15" t="n"/>
      <c r="H2690" s="25">
        <f>IF(G2690="","",SUMIF(C$2:C2690,"Masuk",G$2:G2690)-SUMIF(C$2:C2690,"Keluar",G$2:G2690))</f>
        <v/>
      </c>
    </row>
    <row r="2691">
      <c r="A2691" s="26" t="n"/>
      <c r="B2691" s="27" t="n"/>
      <c r="C2691" s="28" t="n"/>
      <c r="D2691" s="29" t="n"/>
      <c r="E2691" s="29" t="n"/>
      <c r="F2691" s="29" t="n"/>
      <c r="G2691" s="30" t="n"/>
      <c r="H2691" s="31">
        <f>IF(G2691="","",SUMIF(C$2:C2691,"Masuk",G$2:G2691)-SUMIF(C$2:C2691,"Keluar",G$2:G2691))</f>
        <v/>
      </c>
    </row>
    <row r="2692">
      <c r="A2692" s="22" t="n"/>
      <c r="B2692" s="23" t="n"/>
      <c r="C2692" s="24" t="n"/>
      <c r="D2692" s="17" t="n"/>
      <c r="E2692" s="17" t="n"/>
      <c r="F2692" s="17" t="n"/>
      <c r="G2692" s="15" t="n"/>
      <c r="H2692" s="25">
        <f>IF(G2692="","",SUMIF(C$2:C2692,"Masuk",G$2:G2692)-SUMIF(C$2:C2692,"Keluar",G$2:G2692))</f>
        <v/>
      </c>
    </row>
    <row r="2693">
      <c r="A2693" s="26" t="n"/>
      <c r="B2693" s="27" t="n"/>
      <c r="C2693" s="28" t="n"/>
      <c r="D2693" s="29" t="n"/>
      <c r="E2693" s="29" t="n"/>
      <c r="F2693" s="29" t="n"/>
      <c r="G2693" s="30" t="n"/>
      <c r="H2693" s="31">
        <f>IF(G2693="","",SUMIF(C$2:C2693,"Masuk",G$2:G2693)-SUMIF(C$2:C2693,"Keluar",G$2:G2693))</f>
        <v/>
      </c>
    </row>
    <row r="2694">
      <c r="A2694" s="22" t="n"/>
      <c r="B2694" s="23" t="n"/>
      <c r="C2694" s="24" t="n"/>
      <c r="D2694" s="17" t="n"/>
      <c r="E2694" s="17" t="n"/>
      <c r="F2694" s="17" t="n"/>
      <c r="G2694" s="15" t="n"/>
      <c r="H2694" s="25">
        <f>IF(G2694="","",SUMIF(C$2:C2694,"Masuk",G$2:G2694)-SUMIF(C$2:C2694,"Keluar",G$2:G2694))</f>
        <v/>
      </c>
    </row>
    <row r="2695">
      <c r="A2695" s="26" t="n"/>
      <c r="B2695" s="27" t="n"/>
      <c r="C2695" s="28" t="n"/>
      <c r="D2695" s="29" t="n"/>
      <c r="E2695" s="29" t="n"/>
      <c r="F2695" s="29" t="n"/>
      <c r="G2695" s="30" t="n"/>
      <c r="H2695" s="31">
        <f>IF(G2695="","",SUMIF(C$2:C2695,"Masuk",G$2:G2695)-SUMIF(C$2:C2695,"Keluar",G$2:G2695))</f>
        <v/>
      </c>
    </row>
    <row r="2696">
      <c r="A2696" s="22" t="n"/>
      <c r="B2696" s="23" t="n"/>
      <c r="C2696" s="24" t="n"/>
      <c r="D2696" s="17" t="n"/>
      <c r="E2696" s="17" t="n"/>
      <c r="F2696" s="17" t="n"/>
      <c r="G2696" s="15" t="n"/>
      <c r="H2696" s="25">
        <f>IF(G2696="","",SUMIF(C$2:C2696,"Masuk",G$2:G2696)-SUMIF(C$2:C2696,"Keluar",G$2:G2696))</f>
        <v/>
      </c>
    </row>
    <row r="2697">
      <c r="A2697" s="26" t="n"/>
      <c r="B2697" s="27" t="n"/>
      <c r="C2697" s="28" t="n"/>
      <c r="D2697" s="29" t="n"/>
      <c r="E2697" s="29" t="n"/>
      <c r="F2697" s="29" t="n"/>
      <c r="G2697" s="30" t="n"/>
      <c r="H2697" s="31">
        <f>IF(G2697="","",SUMIF(C$2:C2697,"Masuk",G$2:G2697)-SUMIF(C$2:C2697,"Keluar",G$2:G2697))</f>
        <v/>
      </c>
    </row>
    <row r="2698">
      <c r="A2698" s="22" t="n"/>
      <c r="B2698" s="23" t="n"/>
      <c r="C2698" s="24" t="n"/>
      <c r="D2698" s="17" t="n"/>
      <c r="E2698" s="17" t="n"/>
      <c r="F2698" s="17" t="n"/>
      <c r="G2698" s="15" t="n"/>
      <c r="H2698" s="25">
        <f>IF(G2698="","",SUMIF(C$2:C2698,"Masuk",G$2:G2698)-SUMIF(C$2:C2698,"Keluar",G$2:G2698))</f>
        <v/>
      </c>
    </row>
    <row r="2699">
      <c r="A2699" s="26" t="n"/>
      <c r="B2699" s="27" t="n"/>
      <c r="C2699" s="28" t="n"/>
      <c r="D2699" s="29" t="n"/>
      <c r="E2699" s="29" t="n"/>
      <c r="F2699" s="29" t="n"/>
      <c r="G2699" s="30" t="n"/>
      <c r="H2699" s="31">
        <f>IF(G2699="","",SUMIF(C$2:C2699,"Masuk",G$2:G2699)-SUMIF(C$2:C2699,"Keluar",G$2:G2699))</f>
        <v/>
      </c>
    </row>
    <row r="2700">
      <c r="A2700" s="22" t="n"/>
      <c r="B2700" s="23" t="n"/>
      <c r="C2700" s="24" t="n"/>
      <c r="D2700" s="17" t="n"/>
      <c r="E2700" s="17" t="n"/>
      <c r="F2700" s="17" t="n"/>
      <c r="G2700" s="15" t="n"/>
      <c r="H2700" s="25">
        <f>IF(G2700="","",SUMIF(C$2:C2700,"Masuk",G$2:G2700)-SUMIF(C$2:C2700,"Keluar",G$2:G2700))</f>
        <v/>
      </c>
    </row>
    <row r="2701">
      <c r="A2701" s="26" t="n"/>
      <c r="B2701" s="27" t="n"/>
      <c r="C2701" s="28" t="n"/>
      <c r="D2701" s="29" t="n"/>
      <c r="E2701" s="29" t="n"/>
      <c r="F2701" s="29" t="n"/>
      <c r="G2701" s="30" t="n"/>
      <c r="H2701" s="31">
        <f>IF(G2701="","",SUMIF(C$2:C2701,"Masuk",G$2:G2701)-SUMIF(C$2:C2701,"Keluar",G$2:G2701))</f>
        <v/>
      </c>
    </row>
    <row r="2702">
      <c r="A2702" s="22" t="n"/>
      <c r="B2702" s="23" t="n"/>
      <c r="C2702" s="24" t="n"/>
      <c r="D2702" s="17" t="n"/>
      <c r="E2702" s="17" t="n"/>
      <c r="F2702" s="17" t="n"/>
      <c r="G2702" s="15" t="n"/>
      <c r="H2702" s="25">
        <f>IF(G2702="","",SUMIF(C$2:C2702,"Masuk",G$2:G2702)-SUMIF(C$2:C2702,"Keluar",G$2:G2702))</f>
        <v/>
      </c>
    </row>
    <row r="2703">
      <c r="A2703" s="26" t="n"/>
      <c r="B2703" s="27" t="n"/>
      <c r="C2703" s="28" t="n"/>
      <c r="D2703" s="29" t="n"/>
      <c r="E2703" s="29" t="n"/>
      <c r="F2703" s="29" t="n"/>
      <c r="G2703" s="30" t="n"/>
      <c r="H2703" s="31">
        <f>IF(G2703="","",SUMIF(C$2:C2703,"Masuk",G$2:G2703)-SUMIF(C$2:C2703,"Keluar",G$2:G2703))</f>
        <v/>
      </c>
    </row>
    <row r="2704">
      <c r="A2704" s="22" t="n"/>
      <c r="B2704" s="23" t="n"/>
      <c r="C2704" s="24" t="n"/>
      <c r="D2704" s="17" t="n"/>
      <c r="E2704" s="17" t="n"/>
      <c r="F2704" s="17" t="n"/>
      <c r="G2704" s="15" t="n"/>
      <c r="H2704" s="25">
        <f>IF(G2704="","",SUMIF(C$2:C2704,"Masuk",G$2:G2704)-SUMIF(C$2:C2704,"Keluar",G$2:G2704))</f>
        <v/>
      </c>
    </row>
    <row r="2705">
      <c r="A2705" s="26" t="n"/>
      <c r="B2705" s="27" t="n"/>
      <c r="C2705" s="28" t="n"/>
      <c r="D2705" s="29" t="n"/>
      <c r="E2705" s="29" t="n"/>
      <c r="F2705" s="29" t="n"/>
      <c r="G2705" s="30" t="n"/>
      <c r="H2705" s="31">
        <f>IF(G2705="","",SUMIF(C$2:C2705,"Masuk",G$2:G2705)-SUMIF(C$2:C2705,"Keluar",G$2:G2705))</f>
        <v/>
      </c>
    </row>
    <row r="2706">
      <c r="A2706" s="22" t="n"/>
      <c r="B2706" s="23" t="n"/>
      <c r="C2706" s="24" t="n"/>
      <c r="D2706" s="17" t="n"/>
      <c r="E2706" s="17" t="n"/>
      <c r="F2706" s="17" t="n"/>
      <c r="G2706" s="15" t="n"/>
      <c r="H2706" s="25">
        <f>IF(G2706="","",SUMIF(C$2:C2706,"Masuk",G$2:G2706)-SUMIF(C$2:C2706,"Keluar",G$2:G2706))</f>
        <v/>
      </c>
    </row>
    <row r="2707">
      <c r="A2707" s="26" t="n"/>
      <c r="B2707" s="27" t="n"/>
      <c r="C2707" s="28" t="n"/>
      <c r="D2707" s="29" t="n"/>
      <c r="E2707" s="29" t="n"/>
      <c r="F2707" s="29" t="n"/>
      <c r="G2707" s="30" t="n"/>
      <c r="H2707" s="31">
        <f>IF(G2707="","",SUMIF(C$2:C2707,"Masuk",G$2:G2707)-SUMIF(C$2:C2707,"Keluar",G$2:G2707))</f>
        <v/>
      </c>
    </row>
    <row r="2708">
      <c r="A2708" s="22" t="n"/>
      <c r="B2708" s="23" t="n"/>
      <c r="C2708" s="24" t="n"/>
      <c r="D2708" s="17" t="n"/>
      <c r="E2708" s="17" t="n"/>
      <c r="F2708" s="17" t="n"/>
      <c r="G2708" s="15" t="n"/>
      <c r="H2708" s="25">
        <f>IF(G2708="","",SUMIF(C$2:C2708,"Masuk",G$2:G2708)-SUMIF(C$2:C2708,"Keluar",G$2:G2708))</f>
        <v/>
      </c>
    </row>
    <row r="2709">
      <c r="A2709" s="26" t="n"/>
      <c r="B2709" s="27" t="n"/>
      <c r="C2709" s="28" t="n"/>
      <c r="D2709" s="29" t="n"/>
      <c r="E2709" s="29" t="n"/>
      <c r="F2709" s="29" t="n"/>
      <c r="G2709" s="30" t="n"/>
      <c r="H2709" s="31">
        <f>IF(G2709="","",SUMIF(C$2:C2709,"Masuk",G$2:G2709)-SUMIF(C$2:C2709,"Keluar",G$2:G2709))</f>
        <v/>
      </c>
    </row>
    <row r="2710">
      <c r="A2710" s="22" t="n"/>
      <c r="B2710" s="23" t="n"/>
      <c r="C2710" s="24" t="n"/>
      <c r="D2710" s="17" t="n"/>
      <c r="E2710" s="17" t="n"/>
      <c r="F2710" s="17" t="n"/>
      <c r="G2710" s="15" t="n"/>
      <c r="H2710" s="25">
        <f>IF(G2710="","",SUMIF(C$2:C2710,"Masuk",G$2:G2710)-SUMIF(C$2:C2710,"Keluar",G$2:G2710))</f>
        <v/>
      </c>
    </row>
    <row r="2711">
      <c r="A2711" s="26" t="n"/>
      <c r="B2711" s="27" t="n"/>
      <c r="C2711" s="28" t="n"/>
      <c r="D2711" s="29" t="n"/>
      <c r="E2711" s="29" t="n"/>
      <c r="F2711" s="29" t="n"/>
      <c r="G2711" s="30" t="n"/>
      <c r="H2711" s="31">
        <f>IF(G2711="","",SUMIF(C$2:C2711,"Masuk",G$2:G2711)-SUMIF(C$2:C2711,"Keluar",G$2:G2711))</f>
        <v/>
      </c>
    </row>
    <row r="2712">
      <c r="A2712" s="22" t="n"/>
      <c r="B2712" s="23" t="n"/>
      <c r="C2712" s="24" t="n"/>
      <c r="D2712" s="17" t="n"/>
      <c r="E2712" s="17" t="n"/>
      <c r="F2712" s="17" t="n"/>
      <c r="G2712" s="15" t="n"/>
      <c r="H2712" s="25">
        <f>IF(G2712="","",SUMIF(C$2:C2712,"Masuk",G$2:G2712)-SUMIF(C$2:C2712,"Keluar",G$2:G2712))</f>
        <v/>
      </c>
    </row>
    <row r="2713">
      <c r="A2713" s="26" t="n"/>
      <c r="B2713" s="27" t="n"/>
      <c r="C2713" s="28" t="n"/>
      <c r="D2713" s="29" t="n"/>
      <c r="E2713" s="29" t="n"/>
      <c r="F2713" s="29" t="n"/>
      <c r="G2713" s="30" t="n"/>
      <c r="H2713" s="31">
        <f>IF(G2713="","",SUMIF(C$2:C2713,"Masuk",G$2:G2713)-SUMIF(C$2:C2713,"Keluar",G$2:G2713))</f>
        <v/>
      </c>
    </row>
    <row r="2714">
      <c r="A2714" s="22" t="n"/>
      <c r="B2714" s="23" t="n"/>
      <c r="C2714" s="24" t="n"/>
      <c r="D2714" s="17" t="n"/>
      <c r="E2714" s="17" t="n"/>
      <c r="F2714" s="17" t="n"/>
      <c r="G2714" s="15" t="n"/>
      <c r="H2714" s="25">
        <f>IF(G2714="","",SUMIF(C$2:C2714,"Masuk",G$2:G2714)-SUMIF(C$2:C2714,"Keluar",G$2:G2714))</f>
        <v/>
      </c>
    </row>
    <row r="2715">
      <c r="A2715" s="26" t="n"/>
      <c r="B2715" s="27" t="n"/>
      <c r="C2715" s="28" t="n"/>
      <c r="D2715" s="29" t="n"/>
      <c r="E2715" s="29" t="n"/>
      <c r="F2715" s="29" t="n"/>
      <c r="G2715" s="30" t="n"/>
      <c r="H2715" s="31">
        <f>IF(G2715="","",SUMIF(C$2:C2715,"Masuk",G$2:G2715)-SUMIF(C$2:C2715,"Keluar",G$2:G2715))</f>
        <v/>
      </c>
    </row>
    <row r="2716">
      <c r="A2716" s="22" t="n"/>
      <c r="B2716" s="23" t="n"/>
      <c r="C2716" s="24" t="n"/>
      <c r="D2716" s="17" t="n"/>
      <c r="E2716" s="17" t="n"/>
      <c r="F2716" s="17" t="n"/>
      <c r="G2716" s="15" t="n"/>
      <c r="H2716" s="25">
        <f>IF(G2716="","",SUMIF(C$2:C2716,"Masuk",G$2:G2716)-SUMIF(C$2:C2716,"Keluar",G$2:G2716))</f>
        <v/>
      </c>
    </row>
    <row r="2717">
      <c r="A2717" s="26" t="n"/>
      <c r="B2717" s="27" t="n"/>
      <c r="C2717" s="28" t="n"/>
      <c r="D2717" s="29" t="n"/>
      <c r="E2717" s="29" t="n"/>
      <c r="F2717" s="29" t="n"/>
      <c r="G2717" s="30" t="n"/>
      <c r="H2717" s="31">
        <f>IF(G2717="","",SUMIF(C$2:C2717,"Masuk",G$2:G2717)-SUMIF(C$2:C2717,"Keluar",G$2:G2717))</f>
        <v/>
      </c>
    </row>
    <row r="2718">
      <c r="A2718" s="22" t="n"/>
      <c r="B2718" s="23" t="n"/>
      <c r="C2718" s="24" t="n"/>
      <c r="D2718" s="17" t="n"/>
      <c r="E2718" s="17" t="n"/>
      <c r="F2718" s="17" t="n"/>
      <c r="G2718" s="15" t="n"/>
      <c r="H2718" s="25">
        <f>IF(G2718="","",SUMIF(C$2:C2718,"Masuk",G$2:G2718)-SUMIF(C$2:C2718,"Keluar",G$2:G2718))</f>
        <v/>
      </c>
    </row>
    <row r="2719">
      <c r="A2719" s="26" t="n"/>
      <c r="B2719" s="27" t="n"/>
      <c r="C2719" s="28" t="n"/>
      <c r="D2719" s="29" t="n"/>
      <c r="E2719" s="29" t="n"/>
      <c r="F2719" s="29" t="n"/>
      <c r="G2719" s="30" t="n"/>
      <c r="H2719" s="31">
        <f>IF(G2719="","",SUMIF(C$2:C2719,"Masuk",G$2:G2719)-SUMIF(C$2:C2719,"Keluar",G$2:G2719))</f>
        <v/>
      </c>
    </row>
    <row r="2720">
      <c r="A2720" s="22" t="n"/>
      <c r="B2720" s="23" t="n"/>
      <c r="C2720" s="24" t="n"/>
      <c r="D2720" s="17" t="n"/>
      <c r="E2720" s="17" t="n"/>
      <c r="F2720" s="17" t="n"/>
      <c r="G2720" s="15" t="n"/>
      <c r="H2720" s="25">
        <f>IF(G2720="","",SUMIF(C$2:C2720,"Masuk",G$2:G2720)-SUMIF(C$2:C2720,"Keluar",G$2:G2720))</f>
        <v/>
      </c>
    </row>
    <row r="2721">
      <c r="A2721" s="26" t="n"/>
      <c r="B2721" s="27" t="n"/>
      <c r="C2721" s="28" t="n"/>
      <c r="D2721" s="29" t="n"/>
      <c r="E2721" s="29" t="n"/>
      <c r="F2721" s="29" t="n"/>
      <c r="G2721" s="30" t="n"/>
      <c r="H2721" s="31">
        <f>IF(G2721="","",SUMIF(C$2:C2721,"Masuk",G$2:G2721)-SUMIF(C$2:C2721,"Keluar",G$2:G2721))</f>
        <v/>
      </c>
    </row>
    <row r="2722">
      <c r="A2722" s="22" t="n"/>
      <c r="B2722" s="23" t="n"/>
      <c r="C2722" s="24" t="n"/>
      <c r="D2722" s="17" t="n"/>
      <c r="E2722" s="17" t="n"/>
      <c r="F2722" s="17" t="n"/>
      <c r="G2722" s="15" t="n"/>
      <c r="H2722" s="25">
        <f>IF(G2722="","",SUMIF(C$2:C2722,"Masuk",G$2:G2722)-SUMIF(C$2:C2722,"Keluar",G$2:G2722))</f>
        <v/>
      </c>
    </row>
    <row r="2723">
      <c r="A2723" s="26" t="n"/>
      <c r="B2723" s="27" t="n"/>
      <c r="C2723" s="28" t="n"/>
      <c r="D2723" s="29" t="n"/>
      <c r="E2723" s="29" t="n"/>
      <c r="F2723" s="29" t="n"/>
      <c r="G2723" s="30" t="n"/>
      <c r="H2723" s="31">
        <f>IF(G2723="","",SUMIF(C$2:C2723,"Masuk",G$2:G2723)-SUMIF(C$2:C2723,"Keluar",G$2:G2723))</f>
        <v/>
      </c>
    </row>
    <row r="2724">
      <c r="A2724" s="22" t="n"/>
      <c r="B2724" s="23" t="n"/>
      <c r="C2724" s="24" t="n"/>
      <c r="D2724" s="17" t="n"/>
      <c r="E2724" s="17" t="n"/>
      <c r="F2724" s="17" t="n"/>
      <c r="G2724" s="15" t="n"/>
      <c r="H2724" s="25">
        <f>IF(G2724="","",SUMIF(C$2:C2724,"Masuk",G$2:G2724)-SUMIF(C$2:C2724,"Keluar",G$2:G2724))</f>
        <v/>
      </c>
    </row>
    <row r="2725">
      <c r="A2725" s="26" t="n"/>
      <c r="B2725" s="27" t="n"/>
      <c r="C2725" s="28" t="n"/>
      <c r="D2725" s="29" t="n"/>
      <c r="E2725" s="29" t="n"/>
      <c r="F2725" s="29" t="n"/>
      <c r="G2725" s="30" t="n"/>
      <c r="H2725" s="31">
        <f>IF(G2725="","",SUMIF(C$2:C2725,"Masuk",G$2:G2725)-SUMIF(C$2:C2725,"Keluar",G$2:G2725))</f>
        <v/>
      </c>
    </row>
    <row r="2726">
      <c r="A2726" s="22" t="n"/>
      <c r="B2726" s="23" t="n"/>
      <c r="C2726" s="24" t="n"/>
      <c r="D2726" s="17" t="n"/>
      <c r="E2726" s="17" t="n"/>
      <c r="F2726" s="17" t="n"/>
      <c r="G2726" s="15" t="n"/>
      <c r="H2726" s="25">
        <f>IF(G2726="","",SUMIF(C$2:C2726,"Masuk",G$2:G2726)-SUMIF(C$2:C2726,"Keluar",G$2:G2726))</f>
        <v/>
      </c>
    </row>
    <row r="2727">
      <c r="A2727" s="26" t="n"/>
      <c r="B2727" s="27" t="n"/>
      <c r="C2727" s="28" t="n"/>
      <c r="D2727" s="29" t="n"/>
      <c r="E2727" s="29" t="n"/>
      <c r="F2727" s="29" t="n"/>
      <c r="G2727" s="30" t="n"/>
      <c r="H2727" s="31">
        <f>IF(G2727="","",SUMIF(C$2:C2727,"Masuk",G$2:G2727)-SUMIF(C$2:C2727,"Keluar",G$2:G2727))</f>
        <v/>
      </c>
    </row>
    <row r="2728">
      <c r="A2728" s="22" t="n"/>
      <c r="B2728" s="23" t="n"/>
      <c r="C2728" s="24" t="n"/>
      <c r="D2728" s="17" t="n"/>
      <c r="E2728" s="17" t="n"/>
      <c r="F2728" s="17" t="n"/>
      <c r="G2728" s="15" t="n"/>
      <c r="H2728" s="25">
        <f>IF(G2728="","",SUMIF(C$2:C2728,"Masuk",G$2:G2728)-SUMIF(C$2:C2728,"Keluar",G$2:G2728))</f>
        <v/>
      </c>
    </row>
    <row r="2729">
      <c r="A2729" s="26" t="n"/>
      <c r="B2729" s="27" t="n"/>
      <c r="C2729" s="28" t="n"/>
      <c r="D2729" s="29" t="n"/>
      <c r="E2729" s="29" t="n"/>
      <c r="F2729" s="29" t="n"/>
      <c r="G2729" s="30" t="n"/>
      <c r="H2729" s="31">
        <f>IF(G2729="","",SUMIF(C$2:C2729,"Masuk",G$2:G2729)-SUMIF(C$2:C2729,"Keluar",G$2:G2729))</f>
        <v/>
      </c>
    </row>
    <row r="2730">
      <c r="A2730" s="22" t="n"/>
      <c r="B2730" s="23" t="n"/>
      <c r="C2730" s="24" t="n"/>
      <c r="D2730" s="17" t="n"/>
      <c r="E2730" s="17" t="n"/>
      <c r="F2730" s="17" t="n"/>
      <c r="G2730" s="15" t="n"/>
      <c r="H2730" s="25">
        <f>IF(G2730="","",SUMIF(C$2:C2730,"Masuk",G$2:G2730)-SUMIF(C$2:C2730,"Keluar",G$2:G2730))</f>
        <v/>
      </c>
    </row>
    <row r="2731">
      <c r="A2731" s="26" t="n"/>
      <c r="B2731" s="27" t="n"/>
      <c r="C2731" s="28" t="n"/>
      <c r="D2731" s="29" t="n"/>
      <c r="E2731" s="29" t="n"/>
      <c r="F2731" s="29" t="n"/>
      <c r="G2731" s="30" t="n"/>
      <c r="H2731" s="31">
        <f>IF(G2731="","",SUMIF(C$2:C2731,"Masuk",G$2:G2731)-SUMIF(C$2:C2731,"Keluar",G$2:G2731))</f>
        <v/>
      </c>
    </row>
    <row r="2732">
      <c r="A2732" s="22" t="n"/>
      <c r="B2732" s="23" t="n"/>
      <c r="C2732" s="24" t="n"/>
      <c r="D2732" s="17" t="n"/>
      <c r="E2732" s="17" t="n"/>
      <c r="F2732" s="17" t="n"/>
      <c r="G2732" s="15" t="n"/>
      <c r="H2732" s="25">
        <f>IF(G2732="","",SUMIF(C$2:C2732,"Masuk",G$2:G2732)-SUMIF(C$2:C2732,"Keluar",G$2:G2732))</f>
        <v/>
      </c>
    </row>
    <row r="2733">
      <c r="A2733" s="26" t="n"/>
      <c r="B2733" s="27" t="n"/>
      <c r="C2733" s="28" t="n"/>
      <c r="D2733" s="29" t="n"/>
      <c r="E2733" s="29" t="n"/>
      <c r="F2733" s="29" t="n"/>
      <c r="G2733" s="30" t="n"/>
      <c r="H2733" s="31">
        <f>IF(G2733="","",SUMIF(C$2:C2733,"Masuk",G$2:G2733)-SUMIF(C$2:C2733,"Keluar",G$2:G2733))</f>
        <v/>
      </c>
    </row>
    <row r="2734">
      <c r="A2734" s="22" t="n"/>
      <c r="B2734" s="23" t="n"/>
      <c r="C2734" s="24" t="n"/>
      <c r="D2734" s="17" t="n"/>
      <c r="E2734" s="17" t="n"/>
      <c r="F2734" s="17" t="n"/>
      <c r="G2734" s="15" t="n"/>
      <c r="H2734" s="25">
        <f>IF(G2734="","",SUMIF(C$2:C2734,"Masuk",G$2:G2734)-SUMIF(C$2:C2734,"Keluar",G$2:G2734))</f>
        <v/>
      </c>
    </row>
    <row r="2735">
      <c r="A2735" s="26" t="n"/>
      <c r="B2735" s="27" t="n"/>
      <c r="C2735" s="28" t="n"/>
      <c r="D2735" s="29" t="n"/>
      <c r="E2735" s="29" t="n"/>
      <c r="F2735" s="29" t="n"/>
      <c r="G2735" s="30" t="n"/>
      <c r="H2735" s="31">
        <f>IF(G2735="","",SUMIF(C$2:C2735,"Masuk",G$2:G2735)-SUMIF(C$2:C2735,"Keluar",G$2:G2735))</f>
        <v/>
      </c>
    </row>
    <row r="2736">
      <c r="A2736" s="22" t="n"/>
      <c r="B2736" s="23" t="n"/>
      <c r="C2736" s="24" t="n"/>
      <c r="D2736" s="17" t="n"/>
      <c r="E2736" s="17" t="n"/>
      <c r="F2736" s="17" t="n"/>
      <c r="G2736" s="15" t="n"/>
      <c r="H2736" s="25">
        <f>IF(G2736="","",SUMIF(C$2:C2736,"Masuk",G$2:G2736)-SUMIF(C$2:C2736,"Keluar",G$2:G2736))</f>
        <v/>
      </c>
    </row>
    <row r="2737">
      <c r="A2737" s="26" t="n"/>
      <c r="B2737" s="27" t="n"/>
      <c r="C2737" s="28" t="n"/>
      <c r="D2737" s="29" t="n"/>
      <c r="E2737" s="29" t="n"/>
      <c r="F2737" s="29" t="n"/>
      <c r="G2737" s="30" t="n"/>
      <c r="H2737" s="31">
        <f>IF(G2737="","",SUMIF(C$2:C2737,"Masuk",G$2:G2737)-SUMIF(C$2:C2737,"Keluar",G$2:G2737))</f>
        <v/>
      </c>
    </row>
    <row r="2738">
      <c r="A2738" s="22" t="n"/>
      <c r="B2738" s="23" t="n"/>
      <c r="C2738" s="24" t="n"/>
      <c r="D2738" s="17" t="n"/>
      <c r="E2738" s="17" t="n"/>
      <c r="F2738" s="17" t="n"/>
      <c r="G2738" s="15" t="n"/>
      <c r="H2738" s="25">
        <f>IF(G2738="","",SUMIF(C$2:C2738,"Masuk",G$2:G2738)-SUMIF(C$2:C2738,"Keluar",G$2:G2738))</f>
        <v/>
      </c>
    </row>
    <row r="2739">
      <c r="A2739" s="26" t="n"/>
      <c r="B2739" s="27" t="n"/>
      <c r="C2739" s="28" t="n"/>
      <c r="D2739" s="29" t="n"/>
      <c r="E2739" s="29" t="n"/>
      <c r="F2739" s="29" t="n"/>
      <c r="G2739" s="30" t="n"/>
      <c r="H2739" s="31">
        <f>IF(G2739="","",SUMIF(C$2:C2739,"Masuk",G$2:G2739)-SUMIF(C$2:C2739,"Keluar",G$2:G2739))</f>
        <v/>
      </c>
    </row>
    <row r="2740">
      <c r="A2740" s="22" t="n"/>
      <c r="B2740" s="23" t="n"/>
      <c r="C2740" s="24" t="n"/>
      <c r="D2740" s="17" t="n"/>
      <c r="E2740" s="17" t="n"/>
      <c r="F2740" s="17" t="n"/>
      <c r="G2740" s="15" t="n"/>
      <c r="H2740" s="25">
        <f>IF(G2740="","",SUMIF(C$2:C2740,"Masuk",G$2:G2740)-SUMIF(C$2:C2740,"Keluar",G$2:G2740))</f>
        <v/>
      </c>
    </row>
    <row r="2741">
      <c r="A2741" s="26" t="n"/>
      <c r="B2741" s="27" t="n"/>
      <c r="C2741" s="28" t="n"/>
      <c r="D2741" s="29" t="n"/>
      <c r="E2741" s="29" t="n"/>
      <c r="F2741" s="29" t="n"/>
      <c r="G2741" s="30" t="n"/>
      <c r="H2741" s="31">
        <f>IF(G2741="","",SUMIF(C$2:C2741,"Masuk",G$2:G2741)-SUMIF(C$2:C2741,"Keluar",G$2:G2741))</f>
        <v/>
      </c>
    </row>
    <row r="2742">
      <c r="A2742" s="22" t="n"/>
      <c r="B2742" s="23" t="n"/>
      <c r="C2742" s="24" t="n"/>
      <c r="D2742" s="17" t="n"/>
      <c r="E2742" s="17" t="n"/>
      <c r="F2742" s="17" t="n"/>
      <c r="G2742" s="15" t="n"/>
      <c r="H2742" s="25">
        <f>IF(G2742="","",SUMIF(C$2:C2742,"Masuk",G$2:G2742)-SUMIF(C$2:C2742,"Keluar",G$2:G2742))</f>
        <v/>
      </c>
    </row>
    <row r="2743">
      <c r="A2743" s="26" t="n"/>
      <c r="B2743" s="27" t="n"/>
      <c r="C2743" s="28" t="n"/>
      <c r="D2743" s="29" t="n"/>
      <c r="E2743" s="29" t="n"/>
      <c r="F2743" s="29" t="n"/>
      <c r="G2743" s="30" t="n"/>
      <c r="H2743" s="31">
        <f>IF(G2743="","",SUMIF(C$2:C2743,"Masuk",G$2:G2743)-SUMIF(C$2:C2743,"Keluar",G$2:G2743))</f>
        <v/>
      </c>
    </row>
    <row r="2744">
      <c r="A2744" s="22" t="n"/>
      <c r="B2744" s="23" t="n"/>
      <c r="C2744" s="24" t="n"/>
      <c r="D2744" s="17" t="n"/>
      <c r="E2744" s="17" t="n"/>
      <c r="F2744" s="17" t="n"/>
      <c r="G2744" s="15" t="n"/>
      <c r="H2744" s="25">
        <f>IF(G2744="","",SUMIF(C$2:C2744,"Masuk",G$2:G2744)-SUMIF(C$2:C2744,"Keluar",G$2:G2744))</f>
        <v/>
      </c>
    </row>
    <row r="2745">
      <c r="A2745" s="26" t="n"/>
      <c r="B2745" s="27" t="n"/>
      <c r="C2745" s="28" t="n"/>
      <c r="D2745" s="29" t="n"/>
      <c r="E2745" s="29" t="n"/>
      <c r="F2745" s="29" t="n"/>
      <c r="G2745" s="30" t="n"/>
      <c r="H2745" s="31">
        <f>IF(G2745="","",SUMIF(C$2:C2745,"Masuk",G$2:G2745)-SUMIF(C$2:C2745,"Keluar",G$2:G2745))</f>
        <v/>
      </c>
    </row>
    <row r="2746">
      <c r="A2746" s="22" t="n"/>
      <c r="B2746" s="23" t="n"/>
      <c r="C2746" s="24" t="n"/>
      <c r="D2746" s="17" t="n"/>
      <c r="E2746" s="17" t="n"/>
      <c r="F2746" s="17" t="n"/>
      <c r="G2746" s="15" t="n"/>
      <c r="H2746" s="25">
        <f>IF(G2746="","",SUMIF(C$2:C2746,"Masuk",G$2:G2746)-SUMIF(C$2:C2746,"Keluar",G$2:G2746))</f>
        <v/>
      </c>
    </row>
    <row r="2747">
      <c r="A2747" s="26" t="n"/>
      <c r="B2747" s="27" t="n"/>
      <c r="C2747" s="28" t="n"/>
      <c r="D2747" s="29" t="n"/>
      <c r="E2747" s="29" t="n"/>
      <c r="F2747" s="29" t="n"/>
      <c r="G2747" s="30" t="n"/>
      <c r="H2747" s="31">
        <f>IF(G2747="","",SUMIF(C$2:C2747,"Masuk",G$2:G2747)-SUMIF(C$2:C2747,"Keluar",G$2:G2747))</f>
        <v/>
      </c>
    </row>
    <row r="2748">
      <c r="A2748" s="22" t="n"/>
      <c r="B2748" s="23" t="n"/>
      <c r="C2748" s="24" t="n"/>
      <c r="D2748" s="17" t="n"/>
      <c r="E2748" s="17" t="n"/>
      <c r="F2748" s="17" t="n"/>
      <c r="G2748" s="15" t="n"/>
      <c r="H2748" s="25">
        <f>IF(G2748="","",SUMIF(C$2:C2748,"Masuk",G$2:G2748)-SUMIF(C$2:C2748,"Keluar",G$2:G2748))</f>
        <v/>
      </c>
    </row>
    <row r="2749">
      <c r="A2749" s="26" t="n"/>
      <c r="B2749" s="27" t="n"/>
      <c r="C2749" s="28" t="n"/>
      <c r="D2749" s="29" t="n"/>
      <c r="E2749" s="29" t="n"/>
      <c r="F2749" s="29" t="n"/>
      <c r="G2749" s="30" t="n"/>
      <c r="H2749" s="31">
        <f>IF(G2749="","",SUMIF(C$2:C2749,"Masuk",G$2:G2749)-SUMIF(C$2:C2749,"Keluar",G$2:G2749))</f>
        <v/>
      </c>
    </row>
    <row r="2750">
      <c r="A2750" s="22" t="n"/>
      <c r="B2750" s="23" t="n"/>
      <c r="C2750" s="24" t="n"/>
      <c r="D2750" s="17" t="n"/>
      <c r="E2750" s="17" t="n"/>
      <c r="F2750" s="17" t="n"/>
      <c r="G2750" s="15" t="n"/>
      <c r="H2750" s="25">
        <f>IF(G2750="","",SUMIF(C$2:C2750,"Masuk",G$2:G2750)-SUMIF(C$2:C2750,"Keluar",G$2:G2750))</f>
        <v/>
      </c>
    </row>
    <row r="2751">
      <c r="A2751" s="26" t="n"/>
      <c r="B2751" s="27" t="n"/>
      <c r="C2751" s="28" t="n"/>
      <c r="D2751" s="29" t="n"/>
      <c r="E2751" s="29" t="n"/>
      <c r="F2751" s="29" t="n"/>
      <c r="G2751" s="30" t="n"/>
      <c r="H2751" s="31">
        <f>IF(G2751="","",SUMIF(C$2:C2751,"Masuk",G$2:G2751)-SUMIF(C$2:C2751,"Keluar",G$2:G2751))</f>
        <v/>
      </c>
    </row>
    <row r="2752">
      <c r="A2752" s="22" t="n"/>
      <c r="B2752" s="23" t="n"/>
      <c r="C2752" s="24" t="n"/>
      <c r="D2752" s="17" t="n"/>
      <c r="E2752" s="17" t="n"/>
      <c r="F2752" s="17" t="n"/>
      <c r="G2752" s="15" t="n"/>
      <c r="H2752" s="25">
        <f>IF(G2752="","",SUMIF(C$2:C2752,"Masuk",G$2:G2752)-SUMIF(C$2:C2752,"Keluar",G$2:G2752))</f>
        <v/>
      </c>
    </row>
    <row r="2753">
      <c r="A2753" s="26" t="n"/>
      <c r="B2753" s="27" t="n"/>
      <c r="C2753" s="28" t="n"/>
      <c r="D2753" s="29" t="n"/>
      <c r="E2753" s="29" t="n"/>
      <c r="F2753" s="29" t="n"/>
      <c r="G2753" s="30" t="n"/>
      <c r="H2753" s="31">
        <f>IF(G2753="","",SUMIF(C$2:C2753,"Masuk",G$2:G2753)-SUMIF(C$2:C2753,"Keluar",G$2:G2753))</f>
        <v/>
      </c>
    </row>
    <row r="2754">
      <c r="A2754" s="22" t="n"/>
      <c r="B2754" s="23" t="n"/>
      <c r="C2754" s="24" t="n"/>
      <c r="D2754" s="17" t="n"/>
      <c r="E2754" s="17" t="n"/>
      <c r="F2754" s="17" t="n"/>
      <c r="G2754" s="15" t="n"/>
      <c r="H2754" s="25">
        <f>IF(G2754="","",SUMIF(C$2:C2754,"Masuk",G$2:G2754)-SUMIF(C$2:C2754,"Keluar",G$2:G2754))</f>
        <v/>
      </c>
    </row>
    <row r="2755">
      <c r="A2755" s="26" t="n"/>
      <c r="B2755" s="27" t="n"/>
      <c r="C2755" s="28" t="n"/>
      <c r="D2755" s="29" t="n"/>
      <c r="E2755" s="29" t="n"/>
      <c r="F2755" s="29" t="n"/>
      <c r="G2755" s="30" t="n"/>
      <c r="H2755" s="31">
        <f>IF(G2755="","",SUMIF(C$2:C2755,"Masuk",G$2:G2755)-SUMIF(C$2:C2755,"Keluar",G$2:G2755))</f>
        <v/>
      </c>
    </row>
    <row r="2756">
      <c r="A2756" s="22" t="n"/>
      <c r="B2756" s="23" t="n"/>
      <c r="C2756" s="24" t="n"/>
      <c r="D2756" s="17" t="n"/>
      <c r="E2756" s="17" t="n"/>
      <c r="F2756" s="17" t="n"/>
      <c r="G2756" s="15" t="n"/>
      <c r="H2756" s="25">
        <f>IF(G2756="","",SUMIF(C$2:C2756,"Masuk",G$2:G2756)-SUMIF(C$2:C2756,"Keluar",G$2:G2756))</f>
        <v/>
      </c>
    </row>
    <row r="2757">
      <c r="A2757" s="26" t="n"/>
      <c r="B2757" s="27" t="n"/>
      <c r="C2757" s="28" t="n"/>
      <c r="D2757" s="29" t="n"/>
      <c r="E2757" s="29" t="n"/>
      <c r="F2757" s="29" t="n"/>
      <c r="G2757" s="30" t="n"/>
      <c r="H2757" s="31">
        <f>IF(G2757="","",SUMIF(C$2:C2757,"Masuk",G$2:G2757)-SUMIF(C$2:C2757,"Keluar",G$2:G2757))</f>
        <v/>
      </c>
    </row>
    <row r="2758">
      <c r="A2758" s="22" t="n"/>
      <c r="B2758" s="23" t="n"/>
      <c r="C2758" s="24" t="n"/>
      <c r="D2758" s="17" t="n"/>
      <c r="E2758" s="17" t="n"/>
      <c r="F2758" s="17" t="n"/>
      <c r="G2758" s="15" t="n"/>
      <c r="H2758" s="25">
        <f>IF(G2758="","",SUMIF(C$2:C2758,"Masuk",G$2:G2758)-SUMIF(C$2:C2758,"Keluar",G$2:G2758))</f>
        <v/>
      </c>
    </row>
    <row r="2759">
      <c r="A2759" s="26" t="n"/>
      <c r="B2759" s="27" t="n"/>
      <c r="C2759" s="28" t="n"/>
      <c r="D2759" s="29" t="n"/>
      <c r="E2759" s="29" t="n"/>
      <c r="F2759" s="29" t="n"/>
      <c r="G2759" s="30" t="n"/>
      <c r="H2759" s="31">
        <f>IF(G2759="","",SUMIF(C$2:C2759,"Masuk",G$2:G2759)-SUMIF(C$2:C2759,"Keluar",G$2:G2759))</f>
        <v/>
      </c>
    </row>
    <row r="2760">
      <c r="A2760" s="22" t="n"/>
      <c r="B2760" s="23" t="n"/>
      <c r="C2760" s="24" t="n"/>
      <c r="D2760" s="17" t="n"/>
      <c r="E2760" s="17" t="n"/>
      <c r="F2760" s="17" t="n"/>
      <c r="G2760" s="15" t="n"/>
      <c r="H2760" s="25">
        <f>IF(G2760="","",SUMIF(C$2:C2760,"Masuk",G$2:G2760)-SUMIF(C$2:C2760,"Keluar",G$2:G2760))</f>
        <v/>
      </c>
    </row>
    <row r="2761">
      <c r="A2761" s="26" t="n"/>
      <c r="B2761" s="27" t="n"/>
      <c r="C2761" s="28" t="n"/>
      <c r="D2761" s="29" t="n"/>
      <c r="E2761" s="29" t="n"/>
      <c r="F2761" s="29" t="n"/>
      <c r="G2761" s="30" t="n"/>
      <c r="H2761" s="31">
        <f>IF(G2761="","",SUMIF(C$2:C2761,"Masuk",G$2:G2761)-SUMIF(C$2:C2761,"Keluar",G$2:G2761))</f>
        <v/>
      </c>
    </row>
    <row r="2762">
      <c r="A2762" s="22" t="n"/>
      <c r="B2762" s="23" t="n"/>
      <c r="C2762" s="24" t="n"/>
      <c r="D2762" s="17" t="n"/>
      <c r="E2762" s="17" t="n"/>
      <c r="F2762" s="17" t="n"/>
      <c r="G2762" s="15" t="n"/>
      <c r="H2762" s="25">
        <f>IF(G2762="","",SUMIF(C$2:C2762,"Masuk",G$2:G2762)-SUMIF(C$2:C2762,"Keluar",G$2:G2762))</f>
        <v/>
      </c>
    </row>
    <row r="2763">
      <c r="A2763" s="26" t="n"/>
      <c r="B2763" s="27" t="n"/>
      <c r="C2763" s="28" t="n"/>
      <c r="D2763" s="29" t="n"/>
      <c r="E2763" s="29" t="n"/>
      <c r="F2763" s="29" t="n"/>
      <c r="G2763" s="30" t="n"/>
      <c r="H2763" s="31">
        <f>IF(G2763="","",SUMIF(C$2:C2763,"Masuk",G$2:G2763)-SUMIF(C$2:C2763,"Keluar",G$2:G2763))</f>
        <v/>
      </c>
    </row>
    <row r="2764">
      <c r="A2764" s="22" t="n"/>
      <c r="B2764" s="23" t="n"/>
      <c r="C2764" s="24" t="n"/>
      <c r="D2764" s="17" t="n"/>
      <c r="E2764" s="17" t="n"/>
      <c r="F2764" s="17" t="n"/>
      <c r="G2764" s="15" t="n"/>
      <c r="H2764" s="25">
        <f>IF(G2764="","",SUMIF(C$2:C2764,"Masuk",G$2:G2764)-SUMIF(C$2:C2764,"Keluar",G$2:G2764))</f>
        <v/>
      </c>
    </row>
    <row r="2765">
      <c r="A2765" s="26" t="n"/>
      <c r="B2765" s="27" t="n"/>
      <c r="C2765" s="28" t="n"/>
      <c r="D2765" s="29" t="n"/>
      <c r="E2765" s="29" t="n"/>
      <c r="F2765" s="29" t="n"/>
      <c r="G2765" s="30" t="n"/>
      <c r="H2765" s="31">
        <f>IF(G2765="","",SUMIF(C$2:C2765,"Masuk",G$2:G2765)-SUMIF(C$2:C2765,"Keluar",G$2:G2765))</f>
        <v/>
      </c>
    </row>
    <row r="2766">
      <c r="A2766" s="22" t="n"/>
      <c r="B2766" s="23" t="n"/>
      <c r="C2766" s="24" t="n"/>
      <c r="D2766" s="17" t="n"/>
      <c r="E2766" s="17" t="n"/>
      <c r="F2766" s="17" t="n"/>
      <c r="G2766" s="15" t="n"/>
      <c r="H2766" s="25">
        <f>IF(G2766="","",SUMIF(C$2:C2766,"Masuk",G$2:G2766)-SUMIF(C$2:C2766,"Keluar",G$2:G2766))</f>
        <v/>
      </c>
    </row>
    <row r="2767">
      <c r="A2767" s="26" t="n"/>
      <c r="B2767" s="27" t="n"/>
      <c r="C2767" s="28" t="n"/>
      <c r="D2767" s="29" t="n"/>
      <c r="E2767" s="29" t="n"/>
      <c r="F2767" s="29" t="n"/>
      <c r="G2767" s="30" t="n"/>
      <c r="H2767" s="31">
        <f>IF(G2767="","",SUMIF(C$2:C2767,"Masuk",G$2:G2767)-SUMIF(C$2:C2767,"Keluar",G$2:G2767))</f>
        <v/>
      </c>
    </row>
    <row r="2768">
      <c r="A2768" s="22" t="n"/>
      <c r="B2768" s="23" t="n"/>
      <c r="C2768" s="24" t="n"/>
      <c r="D2768" s="17" t="n"/>
      <c r="E2768" s="17" t="n"/>
      <c r="F2768" s="17" t="n"/>
      <c r="G2768" s="15" t="n"/>
      <c r="H2768" s="25">
        <f>IF(G2768="","",SUMIF(C$2:C2768,"Masuk",G$2:G2768)-SUMIF(C$2:C2768,"Keluar",G$2:G2768))</f>
        <v/>
      </c>
    </row>
    <row r="2769">
      <c r="A2769" s="26" t="n"/>
      <c r="B2769" s="27" t="n"/>
      <c r="C2769" s="28" t="n"/>
      <c r="D2769" s="29" t="n"/>
      <c r="E2769" s="29" t="n"/>
      <c r="F2769" s="29" t="n"/>
      <c r="G2769" s="30" t="n"/>
      <c r="H2769" s="31">
        <f>IF(G2769="","",SUMIF(C$2:C2769,"Masuk",G$2:G2769)-SUMIF(C$2:C2769,"Keluar",G$2:G2769))</f>
        <v/>
      </c>
    </row>
    <row r="2770">
      <c r="A2770" s="22" t="n"/>
      <c r="B2770" s="23" t="n"/>
      <c r="C2770" s="24" t="n"/>
      <c r="D2770" s="17" t="n"/>
      <c r="E2770" s="17" t="n"/>
      <c r="F2770" s="17" t="n"/>
      <c r="G2770" s="15" t="n"/>
      <c r="H2770" s="25">
        <f>IF(G2770="","",SUMIF(C$2:C2770,"Masuk",G$2:G2770)-SUMIF(C$2:C2770,"Keluar",G$2:G2770))</f>
        <v/>
      </c>
    </row>
    <row r="2771">
      <c r="A2771" s="26" t="n"/>
      <c r="B2771" s="27" t="n"/>
      <c r="C2771" s="28" t="n"/>
      <c r="D2771" s="29" t="n"/>
      <c r="E2771" s="29" t="n"/>
      <c r="F2771" s="29" t="n"/>
      <c r="G2771" s="30" t="n"/>
      <c r="H2771" s="31">
        <f>IF(G2771="","",SUMIF(C$2:C2771,"Masuk",G$2:G2771)-SUMIF(C$2:C2771,"Keluar",G$2:G2771))</f>
        <v/>
      </c>
    </row>
    <row r="2772">
      <c r="A2772" s="22" t="n"/>
      <c r="B2772" s="23" t="n"/>
      <c r="C2772" s="24" t="n"/>
      <c r="D2772" s="17" t="n"/>
      <c r="E2772" s="17" t="n"/>
      <c r="F2772" s="17" t="n"/>
      <c r="G2772" s="15" t="n"/>
      <c r="H2772" s="25">
        <f>IF(G2772="","",SUMIF(C$2:C2772,"Masuk",G$2:G2772)-SUMIF(C$2:C2772,"Keluar",G$2:G2772))</f>
        <v/>
      </c>
    </row>
    <row r="2773">
      <c r="A2773" s="26" t="n"/>
      <c r="B2773" s="27" t="n"/>
      <c r="C2773" s="28" t="n"/>
      <c r="D2773" s="29" t="n"/>
      <c r="E2773" s="29" t="n"/>
      <c r="F2773" s="29" t="n"/>
      <c r="G2773" s="30" t="n"/>
      <c r="H2773" s="31">
        <f>IF(G2773="","",SUMIF(C$2:C2773,"Masuk",G$2:G2773)-SUMIF(C$2:C2773,"Keluar",G$2:G2773))</f>
        <v/>
      </c>
    </row>
    <row r="2774">
      <c r="A2774" s="22" t="n"/>
      <c r="B2774" s="23" t="n"/>
      <c r="C2774" s="24" t="n"/>
      <c r="D2774" s="17" t="n"/>
      <c r="E2774" s="17" t="n"/>
      <c r="F2774" s="17" t="n"/>
      <c r="G2774" s="15" t="n"/>
      <c r="H2774" s="25">
        <f>IF(G2774="","",SUMIF(C$2:C2774,"Masuk",G$2:G2774)-SUMIF(C$2:C2774,"Keluar",G$2:G2774))</f>
        <v/>
      </c>
    </row>
    <row r="2775">
      <c r="A2775" s="26" t="n"/>
      <c r="B2775" s="27" t="n"/>
      <c r="C2775" s="28" t="n"/>
      <c r="D2775" s="29" t="n"/>
      <c r="E2775" s="29" t="n"/>
      <c r="F2775" s="29" t="n"/>
      <c r="G2775" s="30" t="n"/>
      <c r="H2775" s="31">
        <f>IF(G2775="","",SUMIF(C$2:C2775,"Masuk",G$2:G2775)-SUMIF(C$2:C2775,"Keluar",G$2:G2775))</f>
        <v/>
      </c>
    </row>
    <row r="2776">
      <c r="A2776" s="22" t="n"/>
      <c r="B2776" s="23" t="n"/>
      <c r="C2776" s="24" t="n"/>
      <c r="D2776" s="17" t="n"/>
      <c r="E2776" s="17" t="n"/>
      <c r="F2776" s="17" t="n"/>
      <c r="G2776" s="15" t="n"/>
      <c r="H2776" s="25">
        <f>IF(G2776="","",SUMIF(C$2:C2776,"Masuk",G$2:G2776)-SUMIF(C$2:C2776,"Keluar",G$2:G2776))</f>
        <v/>
      </c>
    </row>
    <row r="2777">
      <c r="A2777" s="26" t="n"/>
      <c r="B2777" s="27" t="n"/>
      <c r="C2777" s="28" t="n"/>
      <c r="D2777" s="29" t="n"/>
      <c r="E2777" s="29" t="n"/>
      <c r="F2777" s="29" t="n"/>
      <c r="G2777" s="30" t="n"/>
      <c r="H2777" s="31">
        <f>IF(G2777="","",SUMIF(C$2:C2777,"Masuk",G$2:G2777)-SUMIF(C$2:C2777,"Keluar",G$2:G2777))</f>
        <v/>
      </c>
    </row>
    <row r="2778">
      <c r="A2778" s="22" t="n"/>
      <c r="B2778" s="23" t="n"/>
      <c r="C2778" s="24" t="n"/>
      <c r="D2778" s="17" t="n"/>
      <c r="E2778" s="17" t="n"/>
      <c r="F2778" s="17" t="n"/>
      <c r="G2778" s="15" t="n"/>
      <c r="H2778" s="25">
        <f>IF(G2778="","",SUMIF(C$2:C2778,"Masuk",G$2:G2778)-SUMIF(C$2:C2778,"Keluar",G$2:G2778))</f>
        <v/>
      </c>
    </row>
    <row r="2779">
      <c r="A2779" s="26" t="n"/>
      <c r="B2779" s="27" t="n"/>
      <c r="C2779" s="28" t="n"/>
      <c r="D2779" s="29" t="n"/>
      <c r="E2779" s="29" t="n"/>
      <c r="F2779" s="29" t="n"/>
      <c r="G2779" s="30" t="n"/>
      <c r="H2779" s="31">
        <f>IF(G2779="","",SUMIF(C$2:C2779,"Masuk",G$2:G2779)-SUMIF(C$2:C2779,"Keluar",G$2:G2779))</f>
        <v/>
      </c>
    </row>
    <row r="2780">
      <c r="A2780" s="22" t="n"/>
      <c r="B2780" s="23" t="n"/>
      <c r="C2780" s="24" t="n"/>
      <c r="D2780" s="17" t="n"/>
      <c r="E2780" s="17" t="n"/>
      <c r="F2780" s="17" t="n"/>
      <c r="G2780" s="15" t="n"/>
      <c r="H2780" s="25">
        <f>IF(G2780="","",SUMIF(C$2:C2780,"Masuk",G$2:G2780)-SUMIF(C$2:C2780,"Keluar",G$2:G2780))</f>
        <v/>
      </c>
    </row>
    <row r="2781">
      <c r="A2781" s="26" t="n"/>
      <c r="B2781" s="27" t="n"/>
      <c r="C2781" s="28" t="n"/>
      <c r="D2781" s="29" t="n"/>
      <c r="E2781" s="29" t="n"/>
      <c r="F2781" s="29" t="n"/>
      <c r="G2781" s="30" t="n"/>
      <c r="H2781" s="31">
        <f>IF(G2781="","",SUMIF(C$2:C2781,"Masuk",G$2:G2781)-SUMIF(C$2:C2781,"Keluar",G$2:G2781))</f>
        <v/>
      </c>
    </row>
    <row r="2782">
      <c r="A2782" s="22" t="n"/>
      <c r="B2782" s="23" t="n"/>
      <c r="C2782" s="24" t="n"/>
      <c r="D2782" s="17" t="n"/>
      <c r="E2782" s="17" t="n"/>
      <c r="F2782" s="17" t="n"/>
      <c r="G2782" s="15" t="n"/>
      <c r="H2782" s="25">
        <f>IF(G2782="","",SUMIF(C$2:C2782,"Masuk",G$2:G2782)-SUMIF(C$2:C2782,"Keluar",G$2:G2782))</f>
        <v/>
      </c>
    </row>
    <row r="2783">
      <c r="A2783" s="26" t="n"/>
      <c r="B2783" s="27" t="n"/>
      <c r="C2783" s="28" t="n"/>
      <c r="D2783" s="29" t="n"/>
      <c r="E2783" s="29" t="n"/>
      <c r="F2783" s="29" t="n"/>
      <c r="G2783" s="30" t="n"/>
      <c r="H2783" s="31">
        <f>IF(G2783="","",SUMIF(C$2:C2783,"Masuk",G$2:G2783)-SUMIF(C$2:C2783,"Keluar",G$2:G2783))</f>
        <v/>
      </c>
    </row>
    <row r="2784">
      <c r="A2784" s="22" t="n"/>
      <c r="B2784" s="23" t="n"/>
      <c r="C2784" s="24" t="n"/>
      <c r="D2784" s="17" t="n"/>
      <c r="E2784" s="17" t="n"/>
      <c r="F2784" s="17" t="n"/>
      <c r="G2784" s="15" t="n"/>
      <c r="H2784" s="25">
        <f>IF(G2784="","",SUMIF(C$2:C2784,"Masuk",G$2:G2784)-SUMIF(C$2:C2784,"Keluar",G$2:G2784))</f>
        <v/>
      </c>
    </row>
    <row r="2785">
      <c r="A2785" s="26" t="n"/>
      <c r="B2785" s="27" t="n"/>
      <c r="C2785" s="28" t="n"/>
      <c r="D2785" s="29" t="n"/>
      <c r="E2785" s="29" t="n"/>
      <c r="F2785" s="29" t="n"/>
      <c r="G2785" s="30" t="n"/>
      <c r="H2785" s="31">
        <f>IF(G2785="","",SUMIF(C$2:C2785,"Masuk",G$2:G2785)-SUMIF(C$2:C2785,"Keluar",G$2:G2785))</f>
        <v/>
      </c>
    </row>
    <row r="2786">
      <c r="A2786" s="22" t="n"/>
      <c r="B2786" s="23" t="n"/>
      <c r="C2786" s="24" t="n"/>
      <c r="D2786" s="17" t="n"/>
      <c r="E2786" s="17" t="n"/>
      <c r="F2786" s="17" t="n"/>
      <c r="G2786" s="15" t="n"/>
      <c r="H2786" s="25">
        <f>IF(G2786="","",SUMIF(C$2:C2786,"Masuk",G$2:G2786)-SUMIF(C$2:C2786,"Keluar",G$2:G2786))</f>
        <v/>
      </c>
    </row>
    <row r="2787">
      <c r="A2787" s="26" t="n"/>
      <c r="B2787" s="27" t="n"/>
      <c r="C2787" s="28" t="n"/>
      <c r="D2787" s="29" t="n"/>
      <c r="E2787" s="29" t="n"/>
      <c r="F2787" s="29" t="n"/>
      <c r="G2787" s="30" t="n"/>
      <c r="H2787" s="31">
        <f>IF(G2787="","",SUMIF(C$2:C2787,"Masuk",G$2:G2787)-SUMIF(C$2:C2787,"Keluar",G$2:G2787))</f>
        <v/>
      </c>
    </row>
    <row r="2788">
      <c r="A2788" s="22" t="n"/>
      <c r="B2788" s="23" t="n"/>
      <c r="C2788" s="24" t="n"/>
      <c r="D2788" s="17" t="n"/>
      <c r="E2788" s="17" t="n"/>
      <c r="F2788" s="17" t="n"/>
      <c r="G2788" s="15" t="n"/>
      <c r="H2788" s="25">
        <f>IF(G2788="","",SUMIF(C$2:C2788,"Masuk",G$2:G2788)-SUMIF(C$2:C2788,"Keluar",G$2:G2788))</f>
        <v/>
      </c>
    </row>
    <row r="2789">
      <c r="A2789" s="26" t="n"/>
      <c r="B2789" s="27" t="n"/>
      <c r="C2789" s="28" t="n"/>
      <c r="D2789" s="29" t="n"/>
      <c r="E2789" s="29" t="n"/>
      <c r="F2789" s="29" t="n"/>
      <c r="G2789" s="30" t="n"/>
      <c r="H2789" s="31">
        <f>IF(G2789="","",SUMIF(C$2:C2789,"Masuk",G$2:G2789)-SUMIF(C$2:C2789,"Keluar",G$2:G2789))</f>
        <v/>
      </c>
    </row>
    <row r="2790">
      <c r="A2790" s="22" t="n"/>
      <c r="B2790" s="23" t="n"/>
      <c r="C2790" s="24" t="n"/>
      <c r="D2790" s="17" t="n"/>
      <c r="E2790" s="17" t="n"/>
      <c r="F2790" s="17" t="n"/>
      <c r="G2790" s="15" t="n"/>
      <c r="H2790" s="25">
        <f>IF(G2790="","",SUMIF(C$2:C2790,"Masuk",G$2:G2790)-SUMIF(C$2:C2790,"Keluar",G$2:G2790))</f>
        <v/>
      </c>
    </row>
    <row r="2791">
      <c r="A2791" s="26" t="n"/>
      <c r="B2791" s="27" t="n"/>
      <c r="C2791" s="28" t="n"/>
      <c r="D2791" s="29" t="n"/>
      <c r="E2791" s="29" t="n"/>
      <c r="F2791" s="29" t="n"/>
      <c r="G2791" s="30" t="n"/>
      <c r="H2791" s="31">
        <f>IF(G2791="","",SUMIF(C$2:C2791,"Masuk",G$2:G2791)-SUMIF(C$2:C2791,"Keluar",G$2:G2791))</f>
        <v/>
      </c>
    </row>
    <row r="2792">
      <c r="A2792" s="22" t="n"/>
      <c r="B2792" s="23" t="n"/>
      <c r="C2792" s="24" t="n"/>
      <c r="D2792" s="17" t="n"/>
      <c r="E2792" s="17" t="n"/>
      <c r="F2792" s="17" t="n"/>
      <c r="G2792" s="15" t="n"/>
      <c r="H2792" s="25">
        <f>IF(G2792="","",SUMIF(C$2:C2792,"Masuk",G$2:G2792)-SUMIF(C$2:C2792,"Keluar",G$2:G2792))</f>
        <v/>
      </c>
    </row>
    <row r="2793">
      <c r="A2793" s="26" t="n"/>
      <c r="B2793" s="27" t="n"/>
      <c r="C2793" s="28" t="n"/>
      <c r="D2793" s="29" t="n"/>
      <c r="E2793" s="29" t="n"/>
      <c r="F2793" s="29" t="n"/>
      <c r="G2793" s="30" t="n"/>
      <c r="H2793" s="31">
        <f>IF(G2793="","",SUMIF(C$2:C2793,"Masuk",G$2:G2793)-SUMIF(C$2:C2793,"Keluar",G$2:G2793))</f>
        <v/>
      </c>
    </row>
    <row r="2794">
      <c r="A2794" s="22" t="n"/>
      <c r="B2794" s="23" t="n"/>
      <c r="C2794" s="24" t="n"/>
      <c r="D2794" s="17" t="n"/>
      <c r="E2794" s="17" t="n"/>
      <c r="F2794" s="17" t="n"/>
      <c r="G2794" s="15" t="n"/>
      <c r="H2794" s="25">
        <f>IF(G2794="","",SUMIF(C$2:C2794,"Masuk",G$2:G2794)-SUMIF(C$2:C2794,"Keluar",G$2:G2794))</f>
        <v/>
      </c>
    </row>
    <row r="2795">
      <c r="A2795" s="26" t="n"/>
      <c r="B2795" s="27" t="n"/>
      <c r="C2795" s="28" t="n"/>
      <c r="D2795" s="29" t="n"/>
      <c r="E2795" s="29" t="n"/>
      <c r="F2795" s="29" t="n"/>
      <c r="G2795" s="30" t="n"/>
      <c r="H2795" s="31">
        <f>IF(G2795="","",SUMIF(C$2:C2795,"Masuk",G$2:G2795)-SUMIF(C$2:C2795,"Keluar",G$2:G2795))</f>
        <v/>
      </c>
    </row>
    <row r="2796">
      <c r="A2796" s="22" t="n"/>
      <c r="B2796" s="23" t="n"/>
      <c r="C2796" s="24" t="n"/>
      <c r="D2796" s="17" t="n"/>
      <c r="E2796" s="17" t="n"/>
      <c r="F2796" s="17" t="n"/>
      <c r="G2796" s="15" t="n"/>
      <c r="H2796" s="25">
        <f>IF(G2796="","",SUMIF(C$2:C2796,"Masuk",G$2:G2796)-SUMIF(C$2:C2796,"Keluar",G$2:G2796))</f>
        <v/>
      </c>
    </row>
    <row r="2797">
      <c r="A2797" s="26" t="n"/>
      <c r="B2797" s="27" t="n"/>
      <c r="C2797" s="28" t="n"/>
      <c r="D2797" s="29" t="n"/>
      <c r="E2797" s="29" t="n"/>
      <c r="F2797" s="29" t="n"/>
      <c r="G2797" s="30" t="n"/>
      <c r="H2797" s="31">
        <f>IF(G2797="","",SUMIF(C$2:C2797,"Masuk",G$2:G2797)-SUMIF(C$2:C2797,"Keluar",G$2:G2797))</f>
        <v/>
      </c>
    </row>
    <row r="2798">
      <c r="A2798" s="22" t="n"/>
      <c r="B2798" s="23" t="n"/>
      <c r="C2798" s="24" t="n"/>
      <c r="D2798" s="17" t="n"/>
      <c r="E2798" s="17" t="n"/>
      <c r="F2798" s="17" t="n"/>
      <c r="G2798" s="15" t="n"/>
      <c r="H2798" s="25">
        <f>IF(G2798="","",SUMIF(C$2:C2798,"Masuk",G$2:G2798)-SUMIF(C$2:C2798,"Keluar",G$2:G2798))</f>
        <v/>
      </c>
    </row>
    <row r="2799">
      <c r="A2799" s="26" t="n"/>
      <c r="B2799" s="27" t="n"/>
      <c r="C2799" s="28" t="n"/>
      <c r="D2799" s="29" t="n"/>
      <c r="E2799" s="29" t="n"/>
      <c r="F2799" s="29" t="n"/>
      <c r="G2799" s="30" t="n"/>
      <c r="H2799" s="31">
        <f>IF(G2799="","",SUMIF(C$2:C2799,"Masuk",G$2:G2799)-SUMIF(C$2:C2799,"Keluar",G$2:G2799))</f>
        <v/>
      </c>
    </row>
    <row r="2800">
      <c r="A2800" s="22" t="n"/>
      <c r="B2800" s="23" t="n"/>
      <c r="C2800" s="24" t="n"/>
      <c r="D2800" s="17" t="n"/>
      <c r="E2800" s="17" t="n"/>
      <c r="F2800" s="17" t="n"/>
      <c r="G2800" s="15" t="n"/>
      <c r="H2800" s="25">
        <f>IF(G2800="","",SUMIF(C$2:C2800,"Masuk",G$2:G2800)-SUMIF(C$2:C2800,"Keluar",G$2:G2800))</f>
        <v/>
      </c>
    </row>
    <row r="2801">
      <c r="A2801" s="26" t="n"/>
      <c r="B2801" s="27" t="n"/>
      <c r="C2801" s="28" t="n"/>
      <c r="D2801" s="29" t="n"/>
      <c r="E2801" s="29" t="n"/>
      <c r="F2801" s="29" t="n"/>
      <c r="G2801" s="30" t="n"/>
      <c r="H2801" s="31">
        <f>IF(G2801="","",SUMIF(C$2:C2801,"Masuk",G$2:G2801)-SUMIF(C$2:C2801,"Keluar",G$2:G2801))</f>
        <v/>
      </c>
    </row>
    <row r="2802">
      <c r="A2802" s="22" t="n"/>
      <c r="B2802" s="23" t="n"/>
      <c r="C2802" s="24" t="n"/>
      <c r="D2802" s="17" t="n"/>
      <c r="E2802" s="17" t="n"/>
      <c r="F2802" s="17" t="n"/>
      <c r="G2802" s="15" t="n"/>
      <c r="H2802" s="25">
        <f>IF(G2802="","",SUMIF(C$2:C2802,"Masuk",G$2:G2802)-SUMIF(C$2:C2802,"Keluar",G$2:G2802))</f>
        <v/>
      </c>
    </row>
    <row r="2803">
      <c r="A2803" s="26" t="n"/>
      <c r="B2803" s="27" t="n"/>
      <c r="C2803" s="28" t="n"/>
      <c r="D2803" s="29" t="n"/>
      <c r="E2803" s="29" t="n"/>
      <c r="F2803" s="29" t="n"/>
      <c r="G2803" s="30" t="n"/>
      <c r="H2803" s="31">
        <f>IF(G2803="","",SUMIF(C$2:C2803,"Masuk",G$2:G2803)-SUMIF(C$2:C2803,"Keluar",G$2:G2803))</f>
        <v/>
      </c>
    </row>
    <row r="2804">
      <c r="A2804" s="22" t="n"/>
      <c r="B2804" s="23" t="n"/>
      <c r="C2804" s="24" t="n"/>
      <c r="D2804" s="17" t="n"/>
      <c r="E2804" s="17" t="n"/>
      <c r="F2804" s="17" t="n"/>
      <c r="G2804" s="15" t="n"/>
      <c r="H2804" s="25">
        <f>IF(G2804="","",SUMIF(C$2:C2804,"Masuk",G$2:G2804)-SUMIF(C$2:C2804,"Keluar",G$2:G2804))</f>
        <v/>
      </c>
    </row>
    <row r="2805">
      <c r="A2805" s="26" t="n"/>
      <c r="B2805" s="27" t="n"/>
      <c r="C2805" s="28" t="n"/>
      <c r="D2805" s="29" t="n"/>
      <c r="E2805" s="29" t="n"/>
      <c r="F2805" s="29" t="n"/>
      <c r="G2805" s="30" t="n"/>
      <c r="H2805" s="31">
        <f>IF(G2805="","",SUMIF(C$2:C2805,"Masuk",G$2:G2805)-SUMIF(C$2:C2805,"Keluar",G$2:G2805))</f>
        <v/>
      </c>
    </row>
    <row r="2806">
      <c r="A2806" s="22" t="n"/>
      <c r="B2806" s="23" t="n"/>
      <c r="C2806" s="24" t="n"/>
      <c r="D2806" s="17" t="n"/>
      <c r="E2806" s="17" t="n"/>
      <c r="F2806" s="17" t="n"/>
      <c r="G2806" s="15" t="n"/>
      <c r="H2806" s="25">
        <f>IF(G2806="","",SUMIF(C$2:C2806,"Masuk",G$2:G2806)-SUMIF(C$2:C2806,"Keluar",G$2:G2806))</f>
        <v/>
      </c>
    </row>
    <row r="2807">
      <c r="A2807" s="26" t="n"/>
      <c r="B2807" s="27" t="n"/>
      <c r="C2807" s="28" t="n"/>
      <c r="D2807" s="29" t="n"/>
      <c r="E2807" s="29" t="n"/>
      <c r="F2807" s="29" t="n"/>
      <c r="G2807" s="30" t="n"/>
      <c r="H2807" s="31">
        <f>IF(G2807="","",SUMIF(C$2:C2807,"Masuk",G$2:G2807)-SUMIF(C$2:C2807,"Keluar",G$2:G2807))</f>
        <v/>
      </c>
    </row>
    <row r="2808">
      <c r="A2808" s="22" t="n"/>
      <c r="B2808" s="23" t="n"/>
      <c r="C2808" s="24" t="n"/>
      <c r="D2808" s="17" t="n"/>
      <c r="E2808" s="17" t="n"/>
      <c r="F2808" s="17" t="n"/>
      <c r="G2808" s="15" t="n"/>
      <c r="H2808" s="25">
        <f>IF(G2808="","",SUMIF(C$2:C2808,"Masuk",G$2:G2808)-SUMIF(C$2:C2808,"Keluar",G$2:G2808))</f>
        <v/>
      </c>
    </row>
    <row r="2809">
      <c r="A2809" s="26" t="n"/>
      <c r="B2809" s="27" t="n"/>
      <c r="C2809" s="28" t="n"/>
      <c r="D2809" s="29" t="n"/>
      <c r="E2809" s="29" t="n"/>
      <c r="F2809" s="29" t="n"/>
      <c r="G2809" s="30" t="n"/>
      <c r="H2809" s="31">
        <f>IF(G2809="","",SUMIF(C$2:C2809,"Masuk",G$2:G2809)-SUMIF(C$2:C2809,"Keluar",G$2:G2809))</f>
        <v/>
      </c>
    </row>
    <row r="2810">
      <c r="A2810" s="22" t="n"/>
      <c r="B2810" s="23" t="n"/>
      <c r="C2810" s="24" t="n"/>
      <c r="D2810" s="17" t="n"/>
      <c r="E2810" s="17" t="n"/>
      <c r="F2810" s="17" t="n"/>
      <c r="G2810" s="15" t="n"/>
      <c r="H2810" s="25">
        <f>IF(G2810="","",SUMIF(C$2:C2810,"Masuk",G$2:G2810)-SUMIF(C$2:C2810,"Keluar",G$2:G2810))</f>
        <v/>
      </c>
    </row>
    <row r="2811">
      <c r="A2811" s="26" t="n"/>
      <c r="B2811" s="27" t="n"/>
      <c r="C2811" s="28" t="n"/>
      <c r="D2811" s="29" t="n"/>
      <c r="E2811" s="29" t="n"/>
      <c r="F2811" s="29" t="n"/>
      <c r="G2811" s="30" t="n"/>
      <c r="H2811" s="31">
        <f>IF(G2811="","",SUMIF(C$2:C2811,"Masuk",G$2:G2811)-SUMIF(C$2:C2811,"Keluar",G$2:G2811))</f>
        <v/>
      </c>
    </row>
    <row r="2812">
      <c r="A2812" s="22" t="n"/>
      <c r="B2812" s="23" t="n"/>
      <c r="C2812" s="24" t="n"/>
      <c r="D2812" s="17" t="n"/>
      <c r="E2812" s="17" t="n"/>
      <c r="F2812" s="17" t="n"/>
      <c r="G2812" s="15" t="n"/>
      <c r="H2812" s="25">
        <f>IF(G2812="","",SUMIF(C$2:C2812,"Masuk",G$2:G2812)-SUMIF(C$2:C2812,"Keluar",G$2:G2812))</f>
        <v/>
      </c>
    </row>
    <row r="2813">
      <c r="A2813" s="26" t="n"/>
      <c r="B2813" s="27" t="n"/>
      <c r="C2813" s="28" t="n"/>
      <c r="D2813" s="29" t="n"/>
      <c r="E2813" s="29" t="n"/>
      <c r="F2813" s="29" t="n"/>
      <c r="G2813" s="30" t="n"/>
      <c r="H2813" s="31">
        <f>IF(G2813="","",SUMIF(C$2:C2813,"Masuk",G$2:G2813)-SUMIF(C$2:C2813,"Keluar",G$2:G2813))</f>
        <v/>
      </c>
    </row>
    <row r="2814">
      <c r="A2814" s="22" t="n"/>
      <c r="B2814" s="23" t="n"/>
      <c r="C2814" s="24" t="n"/>
      <c r="D2814" s="17" t="n"/>
      <c r="E2814" s="17" t="n"/>
      <c r="F2814" s="17" t="n"/>
      <c r="G2814" s="15" t="n"/>
      <c r="H2814" s="25">
        <f>IF(G2814="","",SUMIF(C$2:C2814,"Masuk",G$2:G2814)-SUMIF(C$2:C2814,"Keluar",G$2:G2814))</f>
        <v/>
      </c>
    </row>
    <row r="2815">
      <c r="A2815" s="26" t="n"/>
      <c r="B2815" s="27" t="n"/>
      <c r="C2815" s="28" t="n"/>
      <c r="D2815" s="29" t="n"/>
      <c r="E2815" s="29" t="n"/>
      <c r="F2815" s="29" t="n"/>
      <c r="G2815" s="30" t="n"/>
      <c r="H2815" s="31">
        <f>IF(G2815="","",SUMIF(C$2:C2815,"Masuk",G$2:G2815)-SUMIF(C$2:C2815,"Keluar",G$2:G2815))</f>
        <v/>
      </c>
    </row>
    <row r="2816">
      <c r="A2816" s="22" t="n"/>
      <c r="B2816" s="23" t="n"/>
      <c r="C2816" s="24" t="n"/>
      <c r="D2816" s="17" t="n"/>
      <c r="E2816" s="17" t="n"/>
      <c r="F2816" s="17" t="n"/>
      <c r="G2816" s="15" t="n"/>
      <c r="H2816" s="25">
        <f>IF(G2816="","",SUMIF(C$2:C2816,"Masuk",G$2:G2816)-SUMIF(C$2:C2816,"Keluar",G$2:G2816))</f>
        <v/>
      </c>
    </row>
    <row r="2817">
      <c r="A2817" s="26" t="n"/>
      <c r="B2817" s="27" t="n"/>
      <c r="C2817" s="28" t="n"/>
      <c r="D2817" s="29" t="n"/>
      <c r="E2817" s="29" t="n"/>
      <c r="F2817" s="29" t="n"/>
      <c r="G2817" s="30" t="n"/>
      <c r="H2817" s="31">
        <f>IF(G2817="","",SUMIF(C$2:C2817,"Masuk",G$2:G2817)-SUMIF(C$2:C2817,"Keluar",G$2:G2817))</f>
        <v/>
      </c>
    </row>
    <row r="2818">
      <c r="A2818" s="22" t="n"/>
      <c r="B2818" s="23" t="n"/>
      <c r="C2818" s="24" t="n"/>
      <c r="D2818" s="17" t="n"/>
      <c r="E2818" s="17" t="n"/>
      <c r="F2818" s="17" t="n"/>
      <c r="G2818" s="15" t="n"/>
      <c r="H2818" s="25">
        <f>IF(G2818="","",SUMIF(C$2:C2818,"Masuk",G$2:G2818)-SUMIF(C$2:C2818,"Keluar",G$2:G2818))</f>
        <v/>
      </c>
    </row>
    <row r="2819">
      <c r="A2819" s="26" t="n"/>
      <c r="B2819" s="27" t="n"/>
      <c r="C2819" s="28" t="n"/>
      <c r="D2819" s="29" t="n"/>
      <c r="E2819" s="29" t="n"/>
      <c r="F2819" s="29" t="n"/>
      <c r="G2819" s="30" t="n"/>
      <c r="H2819" s="31">
        <f>IF(G2819="","",SUMIF(C$2:C2819,"Masuk",G$2:G2819)-SUMIF(C$2:C2819,"Keluar",G$2:G2819))</f>
        <v/>
      </c>
    </row>
    <row r="2820">
      <c r="A2820" s="22" t="n"/>
      <c r="B2820" s="23" t="n"/>
      <c r="C2820" s="24" t="n"/>
      <c r="D2820" s="17" t="n"/>
      <c r="E2820" s="17" t="n"/>
      <c r="F2820" s="17" t="n"/>
      <c r="G2820" s="15" t="n"/>
      <c r="H2820" s="25">
        <f>IF(G2820="","",SUMIF(C$2:C2820,"Masuk",G$2:G2820)-SUMIF(C$2:C2820,"Keluar",G$2:G2820))</f>
        <v/>
      </c>
    </row>
    <row r="2821">
      <c r="A2821" s="26" t="n"/>
      <c r="B2821" s="27" t="n"/>
      <c r="C2821" s="28" t="n"/>
      <c r="D2821" s="29" t="n"/>
      <c r="E2821" s="29" t="n"/>
      <c r="F2821" s="29" t="n"/>
      <c r="G2821" s="30" t="n"/>
      <c r="H2821" s="31">
        <f>IF(G2821="","",SUMIF(C$2:C2821,"Masuk",G$2:G2821)-SUMIF(C$2:C2821,"Keluar",G$2:G2821))</f>
        <v/>
      </c>
    </row>
    <row r="2822">
      <c r="A2822" s="22" t="n"/>
      <c r="B2822" s="23" t="n"/>
      <c r="C2822" s="24" t="n"/>
      <c r="D2822" s="17" t="n"/>
      <c r="E2822" s="17" t="n"/>
      <c r="F2822" s="17" t="n"/>
      <c r="G2822" s="15" t="n"/>
      <c r="H2822" s="25">
        <f>IF(G2822="","",SUMIF(C$2:C2822,"Masuk",G$2:G2822)-SUMIF(C$2:C2822,"Keluar",G$2:G2822))</f>
        <v/>
      </c>
    </row>
    <row r="2823">
      <c r="A2823" s="26" t="n"/>
      <c r="B2823" s="27" t="n"/>
      <c r="C2823" s="28" t="n"/>
      <c r="D2823" s="29" t="n"/>
      <c r="E2823" s="29" t="n"/>
      <c r="F2823" s="29" t="n"/>
      <c r="G2823" s="30" t="n"/>
      <c r="H2823" s="31">
        <f>IF(G2823="","",SUMIF(C$2:C2823,"Masuk",G$2:G2823)-SUMIF(C$2:C2823,"Keluar",G$2:G2823))</f>
        <v/>
      </c>
    </row>
    <row r="2824">
      <c r="A2824" s="22" t="n"/>
      <c r="B2824" s="23" t="n"/>
      <c r="C2824" s="24" t="n"/>
      <c r="D2824" s="17" t="n"/>
      <c r="E2824" s="17" t="n"/>
      <c r="F2824" s="17" t="n"/>
      <c r="G2824" s="15" t="n"/>
      <c r="H2824" s="25">
        <f>IF(G2824="","",SUMIF(C$2:C2824,"Masuk",G$2:G2824)-SUMIF(C$2:C2824,"Keluar",G$2:G2824))</f>
        <v/>
      </c>
    </row>
    <row r="2825">
      <c r="A2825" s="26" t="n"/>
      <c r="B2825" s="27" t="n"/>
      <c r="C2825" s="28" t="n"/>
      <c r="D2825" s="29" t="n"/>
      <c r="E2825" s="29" t="n"/>
      <c r="F2825" s="29" t="n"/>
      <c r="G2825" s="30" t="n"/>
      <c r="H2825" s="31">
        <f>IF(G2825="","",SUMIF(C$2:C2825,"Masuk",G$2:G2825)-SUMIF(C$2:C2825,"Keluar",G$2:G2825))</f>
        <v/>
      </c>
    </row>
    <row r="2826">
      <c r="A2826" s="22" t="n"/>
      <c r="B2826" s="23" t="n"/>
      <c r="C2826" s="24" t="n"/>
      <c r="D2826" s="17" t="n"/>
      <c r="E2826" s="17" t="n"/>
      <c r="F2826" s="17" t="n"/>
      <c r="G2826" s="15" t="n"/>
      <c r="H2826" s="25">
        <f>IF(G2826="","",SUMIF(C$2:C2826,"Masuk",G$2:G2826)-SUMIF(C$2:C2826,"Keluar",G$2:G2826))</f>
        <v/>
      </c>
    </row>
    <row r="2827">
      <c r="A2827" s="26" t="n"/>
      <c r="B2827" s="27" t="n"/>
      <c r="C2827" s="28" t="n"/>
      <c r="D2827" s="29" t="n"/>
      <c r="E2827" s="29" t="n"/>
      <c r="F2827" s="29" t="n"/>
      <c r="G2827" s="30" t="n"/>
      <c r="H2827" s="31">
        <f>IF(G2827="","",SUMIF(C$2:C2827,"Masuk",G$2:G2827)-SUMIF(C$2:C2827,"Keluar",G$2:G2827))</f>
        <v/>
      </c>
    </row>
    <row r="2828">
      <c r="A2828" s="22" t="n"/>
      <c r="B2828" s="23" t="n"/>
      <c r="C2828" s="24" t="n"/>
      <c r="D2828" s="17" t="n"/>
      <c r="E2828" s="17" t="n"/>
      <c r="F2828" s="17" t="n"/>
      <c r="G2828" s="15" t="n"/>
      <c r="H2828" s="25">
        <f>IF(G2828="","",SUMIF(C$2:C2828,"Masuk",G$2:G2828)-SUMIF(C$2:C2828,"Keluar",G$2:G2828))</f>
        <v/>
      </c>
    </row>
    <row r="2829">
      <c r="A2829" s="26" t="n"/>
      <c r="B2829" s="27" t="n"/>
      <c r="C2829" s="28" t="n"/>
      <c r="D2829" s="29" t="n"/>
      <c r="E2829" s="29" t="n"/>
      <c r="F2829" s="29" t="n"/>
      <c r="G2829" s="30" t="n"/>
      <c r="H2829" s="31">
        <f>IF(G2829="","",SUMIF(C$2:C2829,"Masuk",G$2:G2829)-SUMIF(C$2:C2829,"Keluar",G$2:G2829))</f>
        <v/>
      </c>
    </row>
    <row r="2830">
      <c r="A2830" s="22" t="n"/>
      <c r="B2830" s="23" t="n"/>
      <c r="C2830" s="24" t="n"/>
      <c r="D2830" s="17" t="n"/>
      <c r="E2830" s="17" t="n"/>
      <c r="F2830" s="17" t="n"/>
      <c r="G2830" s="15" t="n"/>
      <c r="H2830" s="25">
        <f>IF(G2830="","",SUMIF(C$2:C2830,"Masuk",G$2:G2830)-SUMIF(C$2:C2830,"Keluar",G$2:G2830))</f>
        <v/>
      </c>
    </row>
    <row r="2831">
      <c r="A2831" s="26" t="n"/>
      <c r="B2831" s="27" t="n"/>
      <c r="C2831" s="28" t="n"/>
      <c r="D2831" s="29" t="n"/>
      <c r="E2831" s="29" t="n"/>
      <c r="F2831" s="29" t="n"/>
      <c r="G2831" s="30" t="n"/>
      <c r="H2831" s="31">
        <f>IF(G2831="","",SUMIF(C$2:C2831,"Masuk",G$2:G2831)-SUMIF(C$2:C2831,"Keluar",G$2:G2831))</f>
        <v/>
      </c>
    </row>
    <row r="2832">
      <c r="A2832" s="22" t="n"/>
      <c r="B2832" s="23" t="n"/>
      <c r="C2832" s="24" t="n"/>
      <c r="D2832" s="17" t="n"/>
      <c r="E2832" s="17" t="n"/>
      <c r="F2832" s="17" t="n"/>
      <c r="G2832" s="15" t="n"/>
      <c r="H2832" s="25">
        <f>IF(G2832="","",SUMIF(C$2:C2832,"Masuk",G$2:G2832)-SUMIF(C$2:C2832,"Keluar",G$2:G2832))</f>
        <v/>
      </c>
    </row>
    <row r="2833">
      <c r="A2833" s="26" t="n"/>
      <c r="B2833" s="27" t="n"/>
      <c r="C2833" s="28" t="n"/>
      <c r="D2833" s="29" t="n"/>
      <c r="E2833" s="29" t="n"/>
      <c r="F2833" s="29" t="n"/>
      <c r="G2833" s="30" t="n"/>
      <c r="H2833" s="31">
        <f>IF(G2833="","",SUMIF(C$2:C2833,"Masuk",G$2:G2833)-SUMIF(C$2:C2833,"Keluar",G$2:G2833))</f>
        <v/>
      </c>
    </row>
    <row r="2834">
      <c r="A2834" s="22" t="n"/>
      <c r="B2834" s="23" t="n"/>
      <c r="C2834" s="24" t="n"/>
      <c r="D2834" s="17" t="n"/>
      <c r="E2834" s="17" t="n"/>
      <c r="F2834" s="17" t="n"/>
      <c r="G2834" s="15" t="n"/>
      <c r="H2834" s="25">
        <f>IF(G2834="","",SUMIF(C$2:C2834,"Masuk",G$2:G2834)-SUMIF(C$2:C2834,"Keluar",G$2:G2834))</f>
        <v/>
      </c>
    </row>
    <row r="2835">
      <c r="A2835" s="26" t="n"/>
      <c r="B2835" s="27" t="n"/>
      <c r="C2835" s="28" t="n"/>
      <c r="D2835" s="29" t="n"/>
      <c r="E2835" s="29" t="n"/>
      <c r="F2835" s="29" t="n"/>
      <c r="G2835" s="30" t="n"/>
      <c r="H2835" s="31">
        <f>IF(G2835="","",SUMIF(C$2:C2835,"Masuk",G$2:G2835)-SUMIF(C$2:C2835,"Keluar",G$2:G2835))</f>
        <v/>
      </c>
    </row>
    <row r="2836">
      <c r="A2836" s="22" t="n"/>
      <c r="B2836" s="23" t="n"/>
      <c r="C2836" s="24" t="n"/>
      <c r="D2836" s="17" t="n"/>
      <c r="E2836" s="17" t="n"/>
      <c r="F2836" s="17" t="n"/>
      <c r="G2836" s="15" t="n"/>
      <c r="H2836" s="25">
        <f>IF(G2836="","",SUMIF(C$2:C2836,"Masuk",G$2:G2836)-SUMIF(C$2:C2836,"Keluar",G$2:G2836))</f>
        <v/>
      </c>
    </row>
    <row r="2837">
      <c r="A2837" s="26" t="n"/>
      <c r="B2837" s="27" t="n"/>
      <c r="C2837" s="28" t="n"/>
      <c r="D2837" s="29" t="n"/>
      <c r="E2837" s="29" t="n"/>
      <c r="F2837" s="29" t="n"/>
      <c r="G2837" s="30" t="n"/>
      <c r="H2837" s="31">
        <f>IF(G2837="","",SUMIF(C$2:C2837,"Masuk",G$2:G2837)-SUMIF(C$2:C2837,"Keluar",G$2:G2837))</f>
        <v/>
      </c>
    </row>
    <row r="2838">
      <c r="A2838" s="22" t="n"/>
      <c r="B2838" s="23" t="n"/>
      <c r="C2838" s="24" t="n"/>
      <c r="D2838" s="17" t="n"/>
      <c r="E2838" s="17" t="n"/>
      <c r="F2838" s="17" t="n"/>
      <c r="G2838" s="15" t="n"/>
      <c r="H2838" s="25">
        <f>IF(G2838="","",SUMIF(C$2:C2838,"Masuk",G$2:G2838)-SUMIF(C$2:C2838,"Keluar",G$2:G2838))</f>
        <v/>
      </c>
    </row>
    <row r="2839">
      <c r="A2839" s="26" t="n"/>
      <c r="B2839" s="27" t="n"/>
      <c r="C2839" s="28" t="n"/>
      <c r="D2839" s="29" t="n"/>
      <c r="E2839" s="29" t="n"/>
      <c r="F2839" s="29" t="n"/>
      <c r="G2839" s="30" t="n"/>
      <c r="H2839" s="31">
        <f>IF(G2839="","",SUMIF(C$2:C2839,"Masuk",G$2:G2839)-SUMIF(C$2:C2839,"Keluar",G$2:G2839))</f>
        <v/>
      </c>
    </row>
    <row r="2840">
      <c r="A2840" s="22" t="n"/>
      <c r="B2840" s="23" t="n"/>
      <c r="C2840" s="24" t="n"/>
      <c r="D2840" s="17" t="n"/>
      <c r="E2840" s="17" t="n"/>
      <c r="F2840" s="17" t="n"/>
      <c r="G2840" s="15" t="n"/>
      <c r="H2840" s="25">
        <f>IF(G2840="","",SUMIF(C$2:C2840,"Masuk",G$2:G2840)-SUMIF(C$2:C2840,"Keluar",G$2:G2840))</f>
        <v/>
      </c>
    </row>
    <row r="2841">
      <c r="A2841" s="26" t="n"/>
      <c r="B2841" s="27" t="n"/>
      <c r="C2841" s="28" t="n"/>
      <c r="D2841" s="29" t="n"/>
      <c r="E2841" s="29" t="n"/>
      <c r="F2841" s="29" t="n"/>
      <c r="G2841" s="30" t="n"/>
      <c r="H2841" s="31">
        <f>IF(G2841="","",SUMIF(C$2:C2841,"Masuk",G$2:G2841)-SUMIF(C$2:C2841,"Keluar",G$2:G2841))</f>
        <v/>
      </c>
    </row>
    <row r="2842">
      <c r="A2842" s="22" t="n"/>
      <c r="B2842" s="23" t="n"/>
      <c r="C2842" s="24" t="n"/>
      <c r="D2842" s="17" t="n"/>
      <c r="E2842" s="17" t="n"/>
      <c r="F2842" s="17" t="n"/>
      <c r="G2842" s="15" t="n"/>
      <c r="H2842" s="25">
        <f>IF(G2842="","",SUMIF(C$2:C2842,"Masuk",G$2:G2842)-SUMIF(C$2:C2842,"Keluar",G$2:G2842))</f>
        <v/>
      </c>
    </row>
    <row r="2843">
      <c r="A2843" s="26" t="n"/>
      <c r="B2843" s="27" t="n"/>
      <c r="C2843" s="28" t="n"/>
      <c r="D2843" s="29" t="n"/>
      <c r="E2843" s="29" t="n"/>
      <c r="F2843" s="29" t="n"/>
      <c r="G2843" s="30" t="n"/>
      <c r="H2843" s="31">
        <f>IF(G2843="","",SUMIF(C$2:C2843,"Masuk",G$2:G2843)-SUMIF(C$2:C2843,"Keluar",G$2:G2843))</f>
        <v/>
      </c>
    </row>
    <row r="2844">
      <c r="A2844" s="22" t="n"/>
      <c r="B2844" s="23" t="n"/>
      <c r="C2844" s="24" t="n"/>
      <c r="D2844" s="17" t="n"/>
      <c r="E2844" s="17" t="n"/>
      <c r="F2844" s="17" t="n"/>
      <c r="G2844" s="15" t="n"/>
      <c r="H2844" s="25">
        <f>IF(G2844="","",SUMIF(C$2:C2844,"Masuk",G$2:G2844)-SUMIF(C$2:C2844,"Keluar",G$2:G2844))</f>
        <v/>
      </c>
    </row>
    <row r="2845">
      <c r="A2845" s="26" t="n"/>
      <c r="B2845" s="27" t="n"/>
      <c r="C2845" s="28" t="n"/>
      <c r="D2845" s="29" t="n"/>
      <c r="E2845" s="29" t="n"/>
      <c r="F2845" s="29" t="n"/>
      <c r="G2845" s="30" t="n"/>
      <c r="H2845" s="31">
        <f>IF(G2845="","",SUMIF(C$2:C2845,"Masuk",G$2:G2845)-SUMIF(C$2:C2845,"Keluar",G$2:G2845))</f>
        <v/>
      </c>
    </row>
    <row r="2846">
      <c r="A2846" s="22" t="n"/>
      <c r="B2846" s="23" t="n"/>
      <c r="C2846" s="24" t="n"/>
      <c r="D2846" s="17" t="n"/>
      <c r="E2846" s="17" t="n"/>
      <c r="F2846" s="17" t="n"/>
      <c r="G2846" s="15" t="n"/>
      <c r="H2846" s="25">
        <f>IF(G2846="","",SUMIF(C$2:C2846,"Masuk",G$2:G2846)-SUMIF(C$2:C2846,"Keluar",G$2:G2846))</f>
        <v/>
      </c>
    </row>
    <row r="2847">
      <c r="A2847" s="26" t="n"/>
      <c r="B2847" s="27" t="n"/>
      <c r="C2847" s="28" t="n"/>
      <c r="D2847" s="29" t="n"/>
      <c r="E2847" s="29" t="n"/>
      <c r="F2847" s="29" t="n"/>
      <c r="G2847" s="30" t="n"/>
      <c r="H2847" s="31">
        <f>IF(G2847="","",SUMIF(C$2:C2847,"Masuk",G$2:G2847)-SUMIF(C$2:C2847,"Keluar",G$2:G2847))</f>
        <v/>
      </c>
    </row>
    <row r="2848">
      <c r="A2848" s="22" t="n"/>
      <c r="B2848" s="23" t="n"/>
      <c r="C2848" s="24" t="n"/>
      <c r="D2848" s="17" t="n"/>
      <c r="E2848" s="17" t="n"/>
      <c r="F2848" s="17" t="n"/>
      <c r="G2848" s="15" t="n"/>
      <c r="H2848" s="25">
        <f>IF(G2848="","",SUMIF(C$2:C2848,"Masuk",G$2:G2848)-SUMIF(C$2:C2848,"Keluar",G$2:G2848))</f>
        <v/>
      </c>
    </row>
    <row r="2849">
      <c r="A2849" s="26" t="n"/>
      <c r="B2849" s="27" t="n"/>
      <c r="C2849" s="28" t="n"/>
      <c r="D2849" s="29" t="n"/>
      <c r="E2849" s="29" t="n"/>
      <c r="F2849" s="29" t="n"/>
      <c r="G2849" s="30" t="n"/>
      <c r="H2849" s="31">
        <f>IF(G2849="","",SUMIF(C$2:C2849,"Masuk",G$2:G2849)-SUMIF(C$2:C2849,"Keluar",G$2:G2849))</f>
        <v/>
      </c>
    </row>
    <row r="2850">
      <c r="A2850" s="22" t="n"/>
      <c r="B2850" s="23" t="n"/>
      <c r="C2850" s="24" t="n"/>
      <c r="D2850" s="17" t="n"/>
      <c r="E2850" s="17" t="n"/>
      <c r="F2850" s="17" t="n"/>
      <c r="G2850" s="15" t="n"/>
      <c r="H2850" s="25">
        <f>IF(G2850="","",SUMIF(C$2:C2850,"Masuk",G$2:G2850)-SUMIF(C$2:C2850,"Keluar",G$2:G2850))</f>
        <v/>
      </c>
    </row>
    <row r="2851">
      <c r="A2851" s="26" t="n"/>
      <c r="B2851" s="27" t="n"/>
      <c r="C2851" s="28" t="n"/>
      <c r="D2851" s="29" t="n"/>
      <c r="E2851" s="29" t="n"/>
      <c r="F2851" s="29" t="n"/>
      <c r="G2851" s="30" t="n"/>
      <c r="H2851" s="31">
        <f>IF(G2851="","",SUMIF(C$2:C2851,"Masuk",G$2:G2851)-SUMIF(C$2:C2851,"Keluar",G$2:G2851))</f>
        <v/>
      </c>
    </row>
    <row r="2852">
      <c r="A2852" s="22" t="n"/>
      <c r="B2852" s="23" t="n"/>
      <c r="C2852" s="24" t="n"/>
      <c r="D2852" s="17" t="n"/>
      <c r="E2852" s="17" t="n"/>
      <c r="F2852" s="17" t="n"/>
      <c r="G2852" s="15" t="n"/>
      <c r="H2852" s="25">
        <f>IF(G2852="","",SUMIF(C$2:C2852,"Masuk",G$2:G2852)-SUMIF(C$2:C2852,"Keluar",G$2:G2852))</f>
        <v/>
      </c>
    </row>
    <row r="2853">
      <c r="A2853" s="26" t="n"/>
      <c r="B2853" s="27" t="n"/>
      <c r="C2853" s="28" t="n"/>
      <c r="D2853" s="29" t="n"/>
      <c r="E2853" s="29" t="n"/>
      <c r="F2853" s="29" t="n"/>
      <c r="G2853" s="30" t="n"/>
      <c r="H2853" s="31">
        <f>IF(G2853="","",SUMIF(C$2:C2853,"Masuk",G$2:G2853)-SUMIF(C$2:C2853,"Keluar",G$2:G2853))</f>
        <v/>
      </c>
    </row>
    <row r="2854">
      <c r="A2854" s="22" t="n"/>
      <c r="B2854" s="23" t="n"/>
      <c r="C2854" s="24" t="n"/>
      <c r="D2854" s="17" t="n"/>
      <c r="E2854" s="17" t="n"/>
      <c r="F2854" s="17" t="n"/>
      <c r="G2854" s="15" t="n"/>
      <c r="H2854" s="25">
        <f>IF(G2854="","",SUMIF(C$2:C2854,"Masuk",G$2:G2854)-SUMIF(C$2:C2854,"Keluar",G$2:G2854))</f>
        <v/>
      </c>
    </row>
    <row r="2855">
      <c r="A2855" s="26" t="n"/>
      <c r="B2855" s="27" t="n"/>
      <c r="C2855" s="28" t="n"/>
      <c r="D2855" s="29" t="n"/>
      <c r="E2855" s="29" t="n"/>
      <c r="F2855" s="29" t="n"/>
      <c r="G2855" s="30" t="n"/>
      <c r="H2855" s="31">
        <f>IF(G2855="","",SUMIF(C$2:C2855,"Masuk",G$2:G2855)-SUMIF(C$2:C2855,"Keluar",G$2:G2855))</f>
        <v/>
      </c>
    </row>
    <row r="2856">
      <c r="A2856" s="22" t="n"/>
      <c r="B2856" s="23" t="n"/>
      <c r="C2856" s="24" t="n"/>
      <c r="D2856" s="17" t="n"/>
      <c r="E2856" s="17" t="n"/>
      <c r="F2856" s="17" t="n"/>
      <c r="G2856" s="15" t="n"/>
      <c r="H2856" s="25">
        <f>IF(G2856="","",SUMIF(C$2:C2856,"Masuk",G$2:G2856)-SUMIF(C$2:C2856,"Keluar",G$2:G2856))</f>
        <v/>
      </c>
    </row>
    <row r="2857">
      <c r="A2857" s="26" t="n"/>
      <c r="B2857" s="27" t="n"/>
      <c r="C2857" s="28" t="n"/>
      <c r="D2857" s="29" t="n"/>
      <c r="E2857" s="29" t="n"/>
      <c r="F2857" s="29" t="n"/>
      <c r="G2857" s="30" t="n"/>
      <c r="H2857" s="31">
        <f>IF(G2857="","",SUMIF(C$2:C2857,"Masuk",G$2:G2857)-SUMIF(C$2:C2857,"Keluar",G$2:G2857))</f>
        <v/>
      </c>
    </row>
    <row r="2858">
      <c r="A2858" s="22" t="n"/>
      <c r="B2858" s="23" t="n"/>
      <c r="C2858" s="24" t="n"/>
      <c r="D2858" s="17" t="n"/>
      <c r="E2858" s="17" t="n"/>
      <c r="F2858" s="17" t="n"/>
      <c r="G2858" s="15" t="n"/>
      <c r="H2858" s="25">
        <f>IF(G2858="","",SUMIF(C$2:C2858,"Masuk",G$2:G2858)-SUMIF(C$2:C2858,"Keluar",G$2:G2858))</f>
        <v/>
      </c>
    </row>
    <row r="2859">
      <c r="A2859" s="26" t="n"/>
      <c r="B2859" s="27" t="n"/>
      <c r="C2859" s="28" t="n"/>
      <c r="D2859" s="29" t="n"/>
      <c r="E2859" s="29" t="n"/>
      <c r="F2859" s="29" t="n"/>
      <c r="G2859" s="30" t="n"/>
      <c r="H2859" s="31">
        <f>IF(G2859="","",SUMIF(C$2:C2859,"Masuk",G$2:G2859)-SUMIF(C$2:C2859,"Keluar",G$2:G2859))</f>
        <v/>
      </c>
    </row>
    <row r="2860">
      <c r="A2860" s="22" t="n"/>
      <c r="B2860" s="23" t="n"/>
      <c r="C2860" s="24" t="n"/>
      <c r="D2860" s="17" t="n"/>
      <c r="E2860" s="17" t="n"/>
      <c r="F2860" s="17" t="n"/>
      <c r="G2860" s="15" t="n"/>
      <c r="H2860" s="25">
        <f>IF(G2860="","",SUMIF(C$2:C2860,"Masuk",G$2:G2860)-SUMIF(C$2:C2860,"Keluar",G$2:G2860))</f>
        <v/>
      </c>
    </row>
    <row r="2861">
      <c r="A2861" s="26" t="n"/>
      <c r="B2861" s="27" t="n"/>
      <c r="C2861" s="28" t="n"/>
      <c r="D2861" s="29" t="n"/>
      <c r="E2861" s="29" t="n"/>
      <c r="F2861" s="29" t="n"/>
      <c r="G2861" s="30" t="n"/>
      <c r="H2861" s="31">
        <f>IF(G2861="","",SUMIF(C$2:C2861,"Masuk",G$2:G2861)-SUMIF(C$2:C2861,"Keluar",G$2:G2861))</f>
        <v/>
      </c>
    </row>
    <row r="2862">
      <c r="A2862" s="22" t="n"/>
      <c r="B2862" s="23" t="n"/>
      <c r="C2862" s="24" t="n"/>
      <c r="D2862" s="17" t="n"/>
      <c r="E2862" s="17" t="n"/>
      <c r="F2862" s="17" t="n"/>
      <c r="G2862" s="15" t="n"/>
      <c r="H2862" s="25">
        <f>IF(G2862="","",SUMIF(C$2:C2862,"Masuk",G$2:G2862)-SUMIF(C$2:C2862,"Keluar",G$2:G2862))</f>
        <v/>
      </c>
    </row>
    <row r="2863">
      <c r="A2863" s="26" t="n"/>
      <c r="B2863" s="27" t="n"/>
      <c r="C2863" s="28" t="n"/>
      <c r="D2863" s="29" t="n"/>
      <c r="E2863" s="29" t="n"/>
      <c r="F2863" s="29" t="n"/>
      <c r="G2863" s="30" t="n"/>
      <c r="H2863" s="31">
        <f>IF(G2863="","",SUMIF(C$2:C2863,"Masuk",G$2:G2863)-SUMIF(C$2:C2863,"Keluar",G$2:G2863))</f>
        <v/>
      </c>
    </row>
    <row r="2864">
      <c r="A2864" s="22" t="n"/>
      <c r="B2864" s="23" t="n"/>
      <c r="C2864" s="24" t="n"/>
      <c r="D2864" s="17" t="n"/>
      <c r="E2864" s="17" t="n"/>
      <c r="F2864" s="17" t="n"/>
      <c r="G2864" s="15" t="n"/>
      <c r="H2864" s="25">
        <f>IF(G2864="","",SUMIF(C$2:C2864,"Masuk",G$2:G2864)-SUMIF(C$2:C2864,"Keluar",G$2:G2864))</f>
        <v/>
      </c>
    </row>
    <row r="2865">
      <c r="A2865" s="26" t="n"/>
      <c r="B2865" s="27" t="n"/>
      <c r="C2865" s="28" t="n"/>
      <c r="D2865" s="29" t="n"/>
      <c r="E2865" s="29" t="n"/>
      <c r="F2865" s="29" t="n"/>
      <c r="G2865" s="30" t="n"/>
      <c r="H2865" s="31">
        <f>IF(G2865="","",SUMIF(C$2:C2865,"Masuk",G$2:G2865)-SUMIF(C$2:C2865,"Keluar",G$2:G2865))</f>
        <v/>
      </c>
    </row>
    <row r="2866">
      <c r="A2866" s="22" t="n"/>
      <c r="B2866" s="23" t="n"/>
      <c r="C2866" s="24" t="n"/>
      <c r="D2866" s="17" t="n"/>
      <c r="E2866" s="17" t="n"/>
      <c r="F2866" s="17" t="n"/>
      <c r="G2866" s="15" t="n"/>
      <c r="H2866" s="25">
        <f>IF(G2866="","",SUMIF(C$2:C2866,"Masuk",G$2:G2866)-SUMIF(C$2:C2866,"Keluar",G$2:G2866))</f>
        <v/>
      </c>
    </row>
    <row r="2867">
      <c r="A2867" s="26" t="n"/>
      <c r="B2867" s="27" t="n"/>
      <c r="C2867" s="28" t="n"/>
      <c r="D2867" s="29" t="n"/>
      <c r="E2867" s="29" t="n"/>
      <c r="F2867" s="29" t="n"/>
      <c r="G2867" s="30" t="n"/>
      <c r="H2867" s="31">
        <f>IF(G2867="","",SUMIF(C$2:C2867,"Masuk",G$2:G2867)-SUMIF(C$2:C2867,"Keluar",G$2:G2867))</f>
        <v/>
      </c>
    </row>
    <row r="2868">
      <c r="A2868" s="22" t="n"/>
      <c r="B2868" s="23" t="n"/>
      <c r="C2868" s="24" t="n"/>
      <c r="D2868" s="17" t="n"/>
      <c r="E2868" s="17" t="n"/>
      <c r="F2868" s="17" t="n"/>
      <c r="G2868" s="15" t="n"/>
      <c r="H2868" s="25">
        <f>IF(G2868="","",SUMIF(C$2:C2868,"Masuk",G$2:G2868)-SUMIF(C$2:C2868,"Keluar",G$2:G2868))</f>
        <v/>
      </c>
    </row>
    <row r="2869">
      <c r="A2869" s="26" t="n"/>
      <c r="B2869" s="27" t="n"/>
      <c r="C2869" s="28" t="n"/>
      <c r="D2869" s="29" t="n"/>
      <c r="E2869" s="29" t="n"/>
      <c r="F2869" s="29" t="n"/>
      <c r="G2869" s="30" t="n"/>
      <c r="H2869" s="31">
        <f>IF(G2869="","",SUMIF(C$2:C2869,"Masuk",G$2:G2869)-SUMIF(C$2:C2869,"Keluar",G$2:G2869))</f>
        <v/>
      </c>
    </row>
    <row r="2870">
      <c r="A2870" s="22" t="n"/>
      <c r="B2870" s="23" t="n"/>
      <c r="C2870" s="24" t="n"/>
      <c r="D2870" s="17" t="n"/>
      <c r="E2870" s="17" t="n"/>
      <c r="F2870" s="17" t="n"/>
      <c r="G2870" s="15" t="n"/>
      <c r="H2870" s="25">
        <f>IF(G2870="","",SUMIF(C$2:C2870,"Masuk",G$2:G2870)-SUMIF(C$2:C2870,"Keluar",G$2:G2870))</f>
        <v/>
      </c>
    </row>
    <row r="2871">
      <c r="A2871" s="26" t="n"/>
      <c r="B2871" s="27" t="n"/>
      <c r="C2871" s="28" t="n"/>
      <c r="D2871" s="29" t="n"/>
      <c r="E2871" s="29" t="n"/>
      <c r="F2871" s="29" t="n"/>
      <c r="G2871" s="30" t="n"/>
      <c r="H2871" s="31">
        <f>IF(G2871="","",SUMIF(C$2:C2871,"Masuk",G$2:G2871)-SUMIF(C$2:C2871,"Keluar",G$2:G2871))</f>
        <v/>
      </c>
    </row>
    <row r="2872">
      <c r="A2872" s="22" t="n"/>
      <c r="B2872" s="23" t="n"/>
      <c r="C2872" s="24" t="n"/>
      <c r="D2872" s="17" t="n"/>
      <c r="E2872" s="17" t="n"/>
      <c r="F2872" s="17" t="n"/>
      <c r="G2872" s="15" t="n"/>
      <c r="H2872" s="25">
        <f>IF(G2872="","",SUMIF(C$2:C2872,"Masuk",G$2:G2872)-SUMIF(C$2:C2872,"Keluar",G$2:G2872))</f>
        <v/>
      </c>
    </row>
    <row r="2873">
      <c r="A2873" s="26" t="n"/>
      <c r="B2873" s="27" t="n"/>
      <c r="C2873" s="28" t="n"/>
      <c r="D2873" s="29" t="n"/>
      <c r="E2873" s="29" t="n"/>
      <c r="F2873" s="29" t="n"/>
      <c r="G2873" s="30" t="n"/>
      <c r="H2873" s="31">
        <f>IF(G2873="","",SUMIF(C$2:C2873,"Masuk",G$2:G2873)-SUMIF(C$2:C2873,"Keluar",G$2:G2873))</f>
        <v/>
      </c>
    </row>
    <row r="2874">
      <c r="A2874" s="22" t="n"/>
      <c r="B2874" s="23" t="n"/>
      <c r="C2874" s="24" t="n"/>
      <c r="D2874" s="17" t="n"/>
      <c r="E2874" s="17" t="n"/>
      <c r="F2874" s="17" t="n"/>
      <c r="G2874" s="15" t="n"/>
      <c r="H2874" s="25">
        <f>IF(G2874="","",SUMIF(C$2:C2874,"Masuk",G$2:G2874)-SUMIF(C$2:C2874,"Keluar",G$2:G2874))</f>
        <v/>
      </c>
    </row>
    <row r="2875">
      <c r="A2875" s="26" t="n"/>
      <c r="B2875" s="27" t="n"/>
      <c r="C2875" s="28" t="n"/>
      <c r="D2875" s="29" t="n"/>
      <c r="E2875" s="29" t="n"/>
      <c r="F2875" s="29" t="n"/>
      <c r="G2875" s="30" t="n"/>
      <c r="H2875" s="31">
        <f>IF(G2875="","",SUMIF(C$2:C2875,"Masuk",G$2:G2875)-SUMIF(C$2:C2875,"Keluar",G$2:G2875))</f>
        <v/>
      </c>
    </row>
    <row r="2876">
      <c r="A2876" s="22" t="n"/>
      <c r="B2876" s="23" t="n"/>
      <c r="C2876" s="24" t="n"/>
      <c r="D2876" s="17" t="n"/>
      <c r="E2876" s="17" t="n"/>
      <c r="F2876" s="17" t="n"/>
      <c r="G2876" s="15" t="n"/>
      <c r="H2876" s="25">
        <f>IF(G2876="","",SUMIF(C$2:C2876,"Masuk",G$2:G2876)-SUMIF(C$2:C2876,"Keluar",G$2:G2876))</f>
        <v/>
      </c>
    </row>
    <row r="2877">
      <c r="A2877" s="26" t="n"/>
      <c r="B2877" s="27" t="n"/>
      <c r="C2877" s="28" t="n"/>
      <c r="D2877" s="29" t="n"/>
      <c r="E2877" s="29" t="n"/>
      <c r="F2877" s="29" t="n"/>
      <c r="G2877" s="30" t="n"/>
      <c r="H2877" s="31">
        <f>IF(G2877="","",SUMIF(C$2:C2877,"Masuk",G$2:G2877)-SUMIF(C$2:C2877,"Keluar",G$2:G2877))</f>
        <v/>
      </c>
    </row>
    <row r="2878">
      <c r="A2878" s="22" t="n"/>
      <c r="B2878" s="23" t="n"/>
      <c r="C2878" s="24" t="n"/>
      <c r="D2878" s="17" t="n"/>
      <c r="E2878" s="17" t="n"/>
      <c r="F2878" s="17" t="n"/>
      <c r="G2878" s="15" t="n"/>
      <c r="H2878" s="25">
        <f>IF(G2878="","",SUMIF(C$2:C2878,"Masuk",G$2:G2878)-SUMIF(C$2:C2878,"Keluar",G$2:G2878))</f>
        <v/>
      </c>
    </row>
    <row r="2879">
      <c r="A2879" s="26" t="n"/>
      <c r="B2879" s="27" t="n"/>
      <c r="C2879" s="28" t="n"/>
      <c r="D2879" s="29" t="n"/>
      <c r="E2879" s="29" t="n"/>
      <c r="F2879" s="29" t="n"/>
      <c r="G2879" s="30" t="n"/>
      <c r="H2879" s="31">
        <f>IF(G2879="","",SUMIF(C$2:C2879,"Masuk",G$2:G2879)-SUMIF(C$2:C2879,"Keluar",G$2:G2879))</f>
        <v/>
      </c>
    </row>
    <row r="2880">
      <c r="A2880" s="22" t="n"/>
      <c r="B2880" s="23" t="n"/>
      <c r="C2880" s="24" t="n"/>
      <c r="D2880" s="17" t="n"/>
      <c r="E2880" s="17" t="n"/>
      <c r="F2880" s="17" t="n"/>
      <c r="G2880" s="15" t="n"/>
      <c r="H2880" s="25">
        <f>IF(G2880="","",SUMIF(C$2:C2880,"Masuk",G$2:G2880)-SUMIF(C$2:C2880,"Keluar",G$2:G2880))</f>
        <v/>
      </c>
    </row>
    <row r="2881">
      <c r="A2881" s="26" t="n"/>
      <c r="B2881" s="27" t="n"/>
      <c r="C2881" s="28" t="n"/>
      <c r="D2881" s="29" t="n"/>
      <c r="E2881" s="29" t="n"/>
      <c r="F2881" s="29" t="n"/>
      <c r="G2881" s="30" t="n"/>
      <c r="H2881" s="31">
        <f>IF(G2881="","",SUMIF(C$2:C2881,"Masuk",G$2:G2881)-SUMIF(C$2:C2881,"Keluar",G$2:G2881))</f>
        <v/>
      </c>
    </row>
    <row r="2882">
      <c r="A2882" s="22" t="n"/>
      <c r="B2882" s="23" t="n"/>
      <c r="C2882" s="24" t="n"/>
      <c r="D2882" s="17" t="n"/>
      <c r="E2882" s="17" t="n"/>
      <c r="F2882" s="17" t="n"/>
      <c r="G2882" s="15" t="n"/>
      <c r="H2882" s="25">
        <f>IF(G2882="","",SUMIF(C$2:C2882,"Masuk",G$2:G2882)-SUMIF(C$2:C2882,"Keluar",G$2:G2882))</f>
        <v/>
      </c>
    </row>
    <row r="2883">
      <c r="A2883" s="26" t="n"/>
      <c r="B2883" s="27" t="n"/>
      <c r="C2883" s="28" t="n"/>
      <c r="D2883" s="29" t="n"/>
      <c r="E2883" s="29" t="n"/>
      <c r="F2883" s="29" t="n"/>
      <c r="G2883" s="30" t="n"/>
      <c r="H2883" s="31">
        <f>IF(G2883="","",SUMIF(C$2:C2883,"Masuk",G$2:G2883)-SUMIF(C$2:C2883,"Keluar",G$2:G2883))</f>
        <v/>
      </c>
    </row>
    <row r="2884">
      <c r="A2884" s="22" t="n"/>
      <c r="B2884" s="23" t="n"/>
      <c r="C2884" s="24" t="n"/>
      <c r="D2884" s="17" t="n"/>
      <c r="E2884" s="17" t="n"/>
      <c r="F2884" s="17" t="n"/>
      <c r="G2884" s="15" t="n"/>
      <c r="H2884" s="25">
        <f>IF(G2884="","",SUMIF(C$2:C2884,"Masuk",G$2:G2884)-SUMIF(C$2:C2884,"Keluar",G$2:G2884))</f>
        <v/>
      </c>
    </row>
    <row r="2885">
      <c r="A2885" s="26" t="n"/>
      <c r="B2885" s="27" t="n"/>
      <c r="C2885" s="28" t="n"/>
      <c r="D2885" s="29" t="n"/>
      <c r="E2885" s="29" t="n"/>
      <c r="F2885" s="29" t="n"/>
      <c r="G2885" s="30" t="n"/>
      <c r="H2885" s="31">
        <f>IF(G2885="","",SUMIF(C$2:C2885,"Masuk",G$2:G2885)-SUMIF(C$2:C2885,"Keluar",G$2:G2885))</f>
        <v/>
      </c>
    </row>
    <row r="2886">
      <c r="A2886" s="22" t="n"/>
      <c r="B2886" s="23" t="n"/>
      <c r="C2886" s="24" t="n"/>
      <c r="D2886" s="17" t="n"/>
      <c r="E2886" s="17" t="n"/>
      <c r="F2886" s="17" t="n"/>
      <c r="G2886" s="15" t="n"/>
      <c r="H2886" s="25">
        <f>IF(G2886="","",SUMIF(C$2:C2886,"Masuk",G$2:G2886)-SUMIF(C$2:C2886,"Keluar",G$2:G2886))</f>
        <v/>
      </c>
    </row>
    <row r="2887">
      <c r="A2887" s="26" t="n"/>
      <c r="B2887" s="27" t="n"/>
      <c r="C2887" s="28" t="n"/>
      <c r="D2887" s="29" t="n"/>
      <c r="E2887" s="29" t="n"/>
      <c r="F2887" s="29" t="n"/>
      <c r="G2887" s="30" t="n"/>
      <c r="H2887" s="31">
        <f>IF(G2887="","",SUMIF(C$2:C2887,"Masuk",G$2:G2887)-SUMIF(C$2:C2887,"Keluar",G$2:G2887))</f>
        <v/>
      </c>
    </row>
    <row r="2888">
      <c r="A2888" s="22" t="n"/>
      <c r="B2888" s="23" t="n"/>
      <c r="C2888" s="24" t="n"/>
      <c r="D2888" s="17" t="n"/>
      <c r="E2888" s="17" t="n"/>
      <c r="F2888" s="17" t="n"/>
      <c r="G2888" s="15" t="n"/>
      <c r="H2888" s="25">
        <f>IF(G2888="","",SUMIF(C$2:C2888,"Masuk",G$2:G2888)-SUMIF(C$2:C2888,"Keluar",G$2:G2888))</f>
        <v/>
      </c>
    </row>
    <row r="2889">
      <c r="A2889" s="26" t="n"/>
      <c r="B2889" s="27" t="n"/>
      <c r="C2889" s="28" t="n"/>
      <c r="D2889" s="29" t="n"/>
      <c r="E2889" s="29" t="n"/>
      <c r="F2889" s="29" t="n"/>
      <c r="G2889" s="30" t="n"/>
      <c r="H2889" s="31">
        <f>IF(G2889="","",SUMIF(C$2:C2889,"Masuk",G$2:G2889)-SUMIF(C$2:C2889,"Keluar",G$2:G2889))</f>
        <v/>
      </c>
    </row>
    <row r="2890">
      <c r="A2890" s="22" t="n"/>
      <c r="B2890" s="23" t="n"/>
      <c r="C2890" s="24" t="n"/>
      <c r="D2890" s="17" t="n"/>
      <c r="E2890" s="17" t="n"/>
      <c r="F2890" s="17" t="n"/>
      <c r="G2890" s="15" t="n"/>
      <c r="H2890" s="25">
        <f>IF(G2890="","",SUMIF(C$2:C2890,"Masuk",G$2:G2890)-SUMIF(C$2:C2890,"Keluar",G$2:G2890))</f>
        <v/>
      </c>
    </row>
    <row r="2891">
      <c r="A2891" s="26" t="n"/>
      <c r="B2891" s="27" t="n"/>
      <c r="C2891" s="28" t="n"/>
      <c r="D2891" s="29" t="n"/>
      <c r="E2891" s="29" t="n"/>
      <c r="F2891" s="29" t="n"/>
      <c r="G2891" s="30" t="n"/>
      <c r="H2891" s="31">
        <f>IF(G2891="","",SUMIF(C$2:C2891,"Masuk",G$2:G2891)-SUMIF(C$2:C2891,"Keluar",G$2:G2891))</f>
        <v/>
      </c>
    </row>
    <row r="2892">
      <c r="A2892" s="22" t="n"/>
      <c r="B2892" s="23" t="n"/>
      <c r="C2892" s="24" t="n"/>
      <c r="D2892" s="17" t="n"/>
      <c r="E2892" s="17" t="n"/>
      <c r="F2892" s="17" t="n"/>
      <c r="G2892" s="15" t="n"/>
      <c r="H2892" s="25">
        <f>IF(G2892="","",SUMIF(C$2:C2892,"Masuk",G$2:G2892)-SUMIF(C$2:C2892,"Keluar",G$2:G2892))</f>
        <v/>
      </c>
    </row>
    <row r="2893">
      <c r="A2893" s="26" t="n"/>
      <c r="B2893" s="27" t="n"/>
      <c r="C2893" s="28" t="n"/>
      <c r="D2893" s="29" t="n"/>
      <c r="E2893" s="29" t="n"/>
      <c r="F2893" s="29" t="n"/>
      <c r="G2893" s="30" t="n"/>
      <c r="H2893" s="31">
        <f>IF(G2893="","",SUMIF(C$2:C2893,"Masuk",G$2:G2893)-SUMIF(C$2:C2893,"Keluar",G$2:G2893))</f>
        <v/>
      </c>
    </row>
    <row r="2894">
      <c r="A2894" s="22" t="n"/>
      <c r="B2894" s="23" t="n"/>
      <c r="C2894" s="24" t="n"/>
      <c r="D2894" s="17" t="n"/>
      <c r="E2894" s="17" t="n"/>
      <c r="F2894" s="17" t="n"/>
      <c r="G2894" s="15" t="n"/>
      <c r="H2894" s="25">
        <f>IF(G2894="","",SUMIF(C$2:C2894,"Masuk",G$2:G2894)-SUMIF(C$2:C2894,"Keluar",G$2:G2894))</f>
        <v/>
      </c>
    </row>
    <row r="2895">
      <c r="A2895" s="26" t="n"/>
      <c r="B2895" s="27" t="n"/>
      <c r="C2895" s="28" t="n"/>
      <c r="D2895" s="29" t="n"/>
      <c r="E2895" s="29" t="n"/>
      <c r="F2895" s="29" t="n"/>
      <c r="G2895" s="30" t="n"/>
      <c r="H2895" s="31">
        <f>IF(G2895="","",SUMIF(C$2:C2895,"Masuk",G$2:G2895)-SUMIF(C$2:C2895,"Keluar",G$2:G2895))</f>
        <v/>
      </c>
    </row>
    <row r="2896">
      <c r="A2896" s="22" t="n"/>
      <c r="B2896" s="23" t="n"/>
      <c r="C2896" s="24" t="n"/>
      <c r="D2896" s="17" t="n"/>
      <c r="E2896" s="17" t="n"/>
      <c r="F2896" s="17" t="n"/>
      <c r="G2896" s="15" t="n"/>
      <c r="H2896" s="25">
        <f>IF(G2896="","",SUMIF(C$2:C2896,"Masuk",G$2:G2896)-SUMIF(C$2:C2896,"Keluar",G$2:G2896))</f>
        <v/>
      </c>
    </row>
    <row r="2897">
      <c r="A2897" s="26" t="n"/>
      <c r="B2897" s="27" t="n"/>
      <c r="C2897" s="28" t="n"/>
      <c r="D2897" s="29" t="n"/>
      <c r="E2897" s="29" t="n"/>
      <c r="F2897" s="29" t="n"/>
      <c r="G2897" s="30" t="n"/>
      <c r="H2897" s="31">
        <f>IF(G2897="","",SUMIF(C$2:C2897,"Masuk",G$2:G2897)-SUMIF(C$2:C2897,"Keluar",G$2:G2897))</f>
        <v/>
      </c>
    </row>
    <row r="2898">
      <c r="A2898" s="22" t="n"/>
      <c r="B2898" s="23" t="n"/>
      <c r="C2898" s="24" t="n"/>
      <c r="D2898" s="17" t="n"/>
      <c r="E2898" s="17" t="n"/>
      <c r="F2898" s="17" t="n"/>
      <c r="G2898" s="15" t="n"/>
      <c r="H2898" s="25">
        <f>IF(G2898="","",SUMIF(C$2:C2898,"Masuk",G$2:G2898)-SUMIF(C$2:C2898,"Keluar",G$2:G2898))</f>
        <v/>
      </c>
    </row>
    <row r="2899">
      <c r="A2899" s="26" t="n"/>
      <c r="B2899" s="27" t="n"/>
      <c r="C2899" s="28" t="n"/>
      <c r="D2899" s="29" t="n"/>
      <c r="E2899" s="29" t="n"/>
      <c r="F2899" s="29" t="n"/>
      <c r="G2899" s="30" t="n"/>
      <c r="H2899" s="31">
        <f>IF(G2899="","",SUMIF(C$2:C2899,"Masuk",G$2:G2899)-SUMIF(C$2:C2899,"Keluar",G$2:G2899))</f>
        <v/>
      </c>
    </row>
    <row r="2900">
      <c r="A2900" s="22" t="n"/>
      <c r="B2900" s="23" t="n"/>
      <c r="C2900" s="24" t="n"/>
      <c r="D2900" s="17" t="n"/>
      <c r="E2900" s="17" t="n"/>
      <c r="F2900" s="17" t="n"/>
      <c r="G2900" s="15" t="n"/>
      <c r="H2900" s="25">
        <f>IF(G2900="","",SUMIF(C$2:C2900,"Masuk",G$2:G2900)-SUMIF(C$2:C2900,"Keluar",G$2:G2900))</f>
        <v/>
      </c>
    </row>
    <row r="2901">
      <c r="A2901" s="26" t="n"/>
      <c r="B2901" s="27" t="n"/>
      <c r="C2901" s="28" t="n"/>
      <c r="D2901" s="29" t="n"/>
      <c r="E2901" s="29" t="n"/>
      <c r="F2901" s="29" t="n"/>
      <c r="G2901" s="30" t="n"/>
      <c r="H2901" s="31">
        <f>IF(G2901="","",SUMIF(C$2:C2901,"Masuk",G$2:G2901)-SUMIF(C$2:C2901,"Keluar",G$2:G2901))</f>
        <v/>
      </c>
    </row>
    <row r="2902">
      <c r="A2902" s="22" t="n"/>
      <c r="B2902" s="23" t="n"/>
      <c r="C2902" s="24" t="n"/>
      <c r="D2902" s="17" t="n"/>
      <c r="E2902" s="17" t="n"/>
      <c r="F2902" s="17" t="n"/>
      <c r="G2902" s="15" t="n"/>
      <c r="H2902" s="25">
        <f>IF(G2902="","",SUMIF(C$2:C2902,"Masuk",G$2:G2902)-SUMIF(C$2:C2902,"Keluar",G$2:G2902))</f>
        <v/>
      </c>
    </row>
    <row r="2903">
      <c r="A2903" s="26" t="n"/>
      <c r="B2903" s="27" t="n"/>
      <c r="C2903" s="28" t="n"/>
      <c r="D2903" s="29" t="n"/>
      <c r="E2903" s="29" t="n"/>
      <c r="F2903" s="29" t="n"/>
      <c r="G2903" s="30" t="n"/>
      <c r="H2903" s="31">
        <f>IF(G2903="","",SUMIF(C$2:C2903,"Masuk",G$2:G2903)-SUMIF(C$2:C2903,"Keluar",G$2:G2903))</f>
        <v/>
      </c>
    </row>
    <row r="2904">
      <c r="A2904" s="22" t="n"/>
      <c r="B2904" s="23" t="n"/>
      <c r="C2904" s="24" t="n"/>
      <c r="D2904" s="17" t="n"/>
      <c r="E2904" s="17" t="n"/>
      <c r="F2904" s="17" t="n"/>
      <c r="G2904" s="15" t="n"/>
      <c r="H2904" s="25">
        <f>IF(G2904="","",SUMIF(C$2:C2904,"Masuk",G$2:G2904)-SUMIF(C$2:C2904,"Keluar",G$2:G2904))</f>
        <v/>
      </c>
    </row>
    <row r="2905">
      <c r="A2905" s="26" t="n"/>
      <c r="B2905" s="27" t="n"/>
      <c r="C2905" s="28" t="n"/>
      <c r="D2905" s="29" t="n"/>
      <c r="E2905" s="29" t="n"/>
      <c r="F2905" s="29" t="n"/>
      <c r="G2905" s="30" t="n"/>
      <c r="H2905" s="31">
        <f>IF(G2905="","",SUMIF(C$2:C2905,"Masuk",G$2:G2905)-SUMIF(C$2:C2905,"Keluar",G$2:G2905))</f>
        <v/>
      </c>
    </row>
    <row r="2906">
      <c r="A2906" s="22" t="n"/>
      <c r="B2906" s="23" t="n"/>
      <c r="C2906" s="24" t="n"/>
      <c r="D2906" s="17" t="n"/>
      <c r="E2906" s="17" t="n"/>
      <c r="F2906" s="17" t="n"/>
      <c r="G2906" s="15" t="n"/>
      <c r="H2906" s="25">
        <f>IF(G2906="","",SUMIF(C$2:C2906,"Masuk",G$2:G2906)-SUMIF(C$2:C2906,"Keluar",G$2:G2906))</f>
        <v/>
      </c>
    </row>
    <row r="2907">
      <c r="A2907" s="26" t="n"/>
      <c r="B2907" s="27" t="n"/>
      <c r="C2907" s="28" t="n"/>
      <c r="D2907" s="29" t="n"/>
      <c r="E2907" s="29" t="n"/>
      <c r="F2907" s="29" t="n"/>
      <c r="G2907" s="30" t="n"/>
      <c r="H2907" s="31">
        <f>IF(G2907="","",SUMIF(C$2:C2907,"Masuk",G$2:G2907)-SUMIF(C$2:C2907,"Keluar",G$2:G2907))</f>
        <v/>
      </c>
    </row>
    <row r="2908">
      <c r="A2908" s="22" t="n"/>
      <c r="B2908" s="23" t="n"/>
      <c r="C2908" s="24" t="n"/>
      <c r="D2908" s="17" t="n"/>
      <c r="E2908" s="17" t="n"/>
      <c r="F2908" s="17" t="n"/>
      <c r="G2908" s="15" t="n"/>
      <c r="H2908" s="25">
        <f>IF(G2908="","",SUMIF(C$2:C2908,"Masuk",G$2:G2908)-SUMIF(C$2:C2908,"Keluar",G$2:G2908))</f>
        <v/>
      </c>
    </row>
    <row r="2909">
      <c r="A2909" s="26" t="n"/>
      <c r="B2909" s="27" t="n"/>
      <c r="C2909" s="28" t="n"/>
      <c r="D2909" s="29" t="n"/>
      <c r="E2909" s="29" t="n"/>
      <c r="F2909" s="29" t="n"/>
      <c r="G2909" s="30" t="n"/>
      <c r="H2909" s="31">
        <f>IF(G2909="","",SUMIF(C$2:C2909,"Masuk",G$2:G2909)-SUMIF(C$2:C2909,"Keluar",G$2:G2909))</f>
        <v/>
      </c>
    </row>
    <row r="2910">
      <c r="A2910" s="22" t="n"/>
      <c r="B2910" s="23" t="n"/>
      <c r="C2910" s="24" t="n"/>
      <c r="D2910" s="17" t="n"/>
      <c r="E2910" s="17" t="n"/>
      <c r="F2910" s="17" t="n"/>
      <c r="G2910" s="15" t="n"/>
      <c r="H2910" s="25">
        <f>IF(G2910="","",SUMIF(C$2:C2910,"Masuk",G$2:G2910)-SUMIF(C$2:C2910,"Keluar",G$2:G2910))</f>
        <v/>
      </c>
    </row>
    <row r="2911">
      <c r="A2911" s="26" t="n"/>
      <c r="B2911" s="27" t="n"/>
      <c r="C2911" s="28" t="n"/>
      <c r="D2911" s="29" t="n"/>
      <c r="E2911" s="29" t="n"/>
      <c r="F2911" s="29" t="n"/>
      <c r="G2911" s="30" t="n"/>
      <c r="H2911" s="31">
        <f>IF(G2911="","",SUMIF(C$2:C2911,"Masuk",G$2:G2911)-SUMIF(C$2:C2911,"Keluar",G$2:G2911))</f>
        <v/>
      </c>
    </row>
    <row r="2912">
      <c r="A2912" s="22" t="n"/>
      <c r="B2912" s="23" t="n"/>
      <c r="C2912" s="24" t="n"/>
      <c r="D2912" s="17" t="n"/>
      <c r="E2912" s="17" t="n"/>
      <c r="F2912" s="17" t="n"/>
      <c r="G2912" s="15" t="n"/>
      <c r="H2912" s="25">
        <f>IF(G2912="","",SUMIF(C$2:C2912,"Masuk",G$2:G2912)-SUMIF(C$2:C2912,"Keluar",G$2:G2912))</f>
        <v/>
      </c>
    </row>
    <row r="2913">
      <c r="A2913" s="26" t="n"/>
      <c r="B2913" s="27" t="n"/>
      <c r="C2913" s="28" t="n"/>
      <c r="D2913" s="29" t="n"/>
      <c r="E2913" s="29" t="n"/>
      <c r="F2913" s="29" t="n"/>
      <c r="G2913" s="30" t="n"/>
      <c r="H2913" s="31">
        <f>IF(G2913="","",SUMIF(C$2:C2913,"Masuk",G$2:G2913)-SUMIF(C$2:C2913,"Keluar",G$2:G2913))</f>
        <v/>
      </c>
    </row>
    <row r="2914">
      <c r="A2914" s="22" t="n"/>
      <c r="B2914" s="23" t="n"/>
      <c r="C2914" s="24" t="n"/>
      <c r="D2914" s="17" t="n"/>
      <c r="E2914" s="17" t="n"/>
      <c r="F2914" s="17" t="n"/>
      <c r="G2914" s="15" t="n"/>
      <c r="H2914" s="25">
        <f>IF(G2914="","",SUMIF(C$2:C2914,"Masuk",G$2:G2914)-SUMIF(C$2:C2914,"Keluar",G$2:G2914))</f>
        <v/>
      </c>
    </row>
    <row r="2915">
      <c r="A2915" s="26" t="n"/>
      <c r="B2915" s="27" t="n"/>
      <c r="C2915" s="28" t="n"/>
      <c r="D2915" s="29" t="n"/>
      <c r="E2915" s="29" t="n"/>
      <c r="F2915" s="29" t="n"/>
      <c r="G2915" s="30" t="n"/>
      <c r="H2915" s="31">
        <f>IF(G2915="","",SUMIF(C$2:C2915,"Masuk",G$2:G2915)-SUMIF(C$2:C2915,"Keluar",G$2:G2915))</f>
        <v/>
      </c>
    </row>
    <row r="2916">
      <c r="A2916" s="22" t="n"/>
      <c r="B2916" s="23" t="n"/>
      <c r="C2916" s="24" t="n"/>
      <c r="D2916" s="17" t="n"/>
      <c r="E2916" s="17" t="n"/>
      <c r="F2916" s="17" t="n"/>
      <c r="G2916" s="15" t="n"/>
      <c r="H2916" s="25">
        <f>IF(G2916="","",SUMIF(C$2:C2916,"Masuk",G$2:G2916)-SUMIF(C$2:C2916,"Keluar",G$2:G2916))</f>
        <v/>
      </c>
    </row>
    <row r="2917">
      <c r="A2917" s="26" t="n"/>
      <c r="B2917" s="27" t="n"/>
      <c r="C2917" s="28" t="n"/>
      <c r="D2917" s="29" t="n"/>
      <c r="E2917" s="29" t="n"/>
      <c r="F2917" s="29" t="n"/>
      <c r="G2917" s="30" t="n"/>
      <c r="H2917" s="31">
        <f>IF(G2917="","",SUMIF(C$2:C2917,"Masuk",G$2:G2917)-SUMIF(C$2:C2917,"Keluar",G$2:G2917))</f>
        <v/>
      </c>
    </row>
    <row r="2918">
      <c r="A2918" s="22" t="n"/>
      <c r="B2918" s="23" t="n"/>
      <c r="C2918" s="24" t="n"/>
      <c r="D2918" s="17" t="n"/>
      <c r="E2918" s="17" t="n"/>
      <c r="F2918" s="17" t="n"/>
      <c r="G2918" s="15" t="n"/>
      <c r="H2918" s="25">
        <f>IF(G2918="","",SUMIF(C$2:C2918,"Masuk",G$2:G2918)-SUMIF(C$2:C2918,"Keluar",G$2:G2918))</f>
        <v/>
      </c>
    </row>
    <row r="2919">
      <c r="A2919" s="26" t="n"/>
      <c r="B2919" s="27" t="n"/>
      <c r="C2919" s="28" t="n"/>
      <c r="D2919" s="29" t="n"/>
      <c r="E2919" s="29" t="n"/>
      <c r="F2919" s="29" t="n"/>
      <c r="G2919" s="30" t="n"/>
      <c r="H2919" s="31">
        <f>IF(G2919="","",SUMIF(C$2:C2919,"Masuk",G$2:G2919)-SUMIF(C$2:C2919,"Keluar",G$2:G2919))</f>
        <v/>
      </c>
    </row>
    <row r="2920">
      <c r="A2920" s="22" t="n"/>
      <c r="B2920" s="23" t="n"/>
      <c r="C2920" s="24" t="n"/>
      <c r="D2920" s="17" t="n"/>
      <c r="E2920" s="17" t="n"/>
      <c r="F2920" s="17" t="n"/>
      <c r="G2920" s="15" t="n"/>
      <c r="H2920" s="25">
        <f>IF(G2920="","",SUMIF(C$2:C2920,"Masuk",G$2:G2920)-SUMIF(C$2:C2920,"Keluar",G$2:G2920))</f>
        <v/>
      </c>
    </row>
    <row r="2921">
      <c r="A2921" s="26" t="n"/>
      <c r="B2921" s="27" t="n"/>
      <c r="C2921" s="28" t="n"/>
      <c r="D2921" s="29" t="n"/>
      <c r="E2921" s="29" t="n"/>
      <c r="F2921" s="29" t="n"/>
      <c r="G2921" s="30" t="n"/>
      <c r="H2921" s="31">
        <f>IF(G2921="","",SUMIF(C$2:C2921,"Masuk",G$2:G2921)-SUMIF(C$2:C2921,"Keluar",G$2:G2921))</f>
        <v/>
      </c>
    </row>
    <row r="2922">
      <c r="A2922" s="22" t="n"/>
      <c r="B2922" s="23" t="n"/>
      <c r="C2922" s="24" t="n"/>
      <c r="D2922" s="17" t="n"/>
      <c r="E2922" s="17" t="n"/>
      <c r="F2922" s="17" t="n"/>
      <c r="G2922" s="15" t="n"/>
      <c r="H2922" s="25">
        <f>IF(G2922="","",SUMIF(C$2:C2922,"Masuk",G$2:G2922)-SUMIF(C$2:C2922,"Keluar",G$2:G2922))</f>
        <v/>
      </c>
    </row>
    <row r="2923">
      <c r="A2923" s="26" t="n"/>
      <c r="B2923" s="27" t="n"/>
      <c r="C2923" s="28" t="n"/>
      <c r="D2923" s="29" t="n"/>
      <c r="E2923" s="29" t="n"/>
      <c r="F2923" s="29" t="n"/>
      <c r="G2923" s="30" t="n"/>
      <c r="H2923" s="31">
        <f>IF(G2923="","",SUMIF(C$2:C2923,"Masuk",G$2:G2923)-SUMIF(C$2:C2923,"Keluar",G$2:G2923))</f>
        <v/>
      </c>
    </row>
    <row r="2924">
      <c r="A2924" s="22" t="n"/>
      <c r="B2924" s="23" t="n"/>
      <c r="C2924" s="24" t="n"/>
      <c r="D2924" s="17" t="n"/>
      <c r="E2924" s="17" t="n"/>
      <c r="F2924" s="17" t="n"/>
      <c r="G2924" s="15" t="n"/>
      <c r="H2924" s="25">
        <f>IF(G2924="","",SUMIF(C$2:C2924,"Masuk",G$2:G2924)-SUMIF(C$2:C2924,"Keluar",G$2:G2924))</f>
        <v/>
      </c>
    </row>
    <row r="2925">
      <c r="A2925" s="26" t="n"/>
      <c r="B2925" s="27" t="n"/>
      <c r="C2925" s="28" t="n"/>
      <c r="D2925" s="29" t="n"/>
      <c r="E2925" s="29" t="n"/>
      <c r="F2925" s="29" t="n"/>
      <c r="G2925" s="30" t="n"/>
      <c r="H2925" s="31">
        <f>IF(G2925="","",SUMIF(C$2:C2925,"Masuk",G$2:G2925)-SUMIF(C$2:C2925,"Keluar",G$2:G2925))</f>
        <v/>
      </c>
    </row>
    <row r="2926">
      <c r="A2926" s="22" t="n"/>
      <c r="B2926" s="23" t="n"/>
      <c r="C2926" s="24" t="n"/>
      <c r="D2926" s="17" t="n"/>
      <c r="E2926" s="17" t="n"/>
      <c r="F2926" s="17" t="n"/>
      <c r="G2926" s="15" t="n"/>
      <c r="H2926" s="25">
        <f>IF(G2926="","",SUMIF(C$2:C2926,"Masuk",G$2:G2926)-SUMIF(C$2:C2926,"Keluar",G$2:G2926))</f>
        <v/>
      </c>
    </row>
    <row r="2927">
      <c r="A2927" s="26" t="n"/>
      <c r="B2927" s="27" t="n"/>
      <c r="C2927" s="28" t="n"/>
      <c r="D2927" s="29" t="n"/>
      <c r="E2927" s="29" t="n"/>
      <c r="F2927" s="29" t="n"/>
      <c r="G2927" s="30" t="n"/>
      <c r="H2927" s="31">
        <f>IF(G2927="","",SUMIF(C$2:C2927,"Masuk",G$2:G2927)-SUMIF(C$2:C2927,"Keluar",G$2:G2927))</f>
        <v/>
      </c>
    </row>
    <row r="2928">
      <c r="A2928" s="22" t="n"/>
      <c r="B2928" s="23" t="n"/>
      <c r="C2928" s="24" t="n"/>
      <c r="D2928" s="17" t="n"/>
      <c r="E2928" s="17" t="n"/>
      <c r="F2928" s="17" t="n"/>
      <c r="G2928" s="15" t="n"/>
      <c r="H2928" s="25">
        <f>IF(G2928="","",SUMIF(C$2:C2928,"Masuk",G$2:G2928)-SUMIF(C$2:C2928,"Keluar",G$2:G2928))</f>
        <v/>
      </c>
    </row>
    <row r="2929">
      <c r="A2929" s="26" t="n"/>
      <c r="B2929" s="27" t="n"/>
      <c r="C2929" s="28" t="n"/>
      <c r="D2929" s="29" t="n"/>
      <c r="E2929" s="29" t="n"/>
      <c r="F2929" s="29" t="n"/>
      <c r="G2929" s="30" t="n"/>
      <c r="H2929" s="31">
        <f>IF(G2929="","",SUMIF(C$2:C2929,"Masuk",G$2:G2929)-SUMIF(C$2:C2929,"Keluar",G$2:G2929))</f>
        <v/>
      </c>
    </row>
    <row r="2930">
      <c r="A2930" s="22" t="n"/>
      <c r="B2930" s="23" t="n"/>
      <c r="C2930" s="24" t="n"/>
      <c r="D2930" s="17" t="n"/>
      <c r="E2930" s="17" t="n"/>
      <c r="F2930" s="17" t="n"/>
      <c r="G2930" s="15" t="n"/>
      <c r="H2930" s="25">
        <f>IF(G2930="","",SUMIF(C$2:C2930,"Masuk",G$2:G2930)-SUMIF(C$2:C2930,"Keluar",G$2:G2930))</f>
        <v/>
      </c>
    </row>
    <row r="2931">
      <c r="A2931" s="26" t="n"/>
      <c r="B2931" s="27" t="n"/>
      <c r="C2931" s="28" t="n"/>
      <c r="D2931" s="29" t="n"/>
      <c r="E2931" s="29" t="n"/>
      <c r="F2931" s="29" t="n"/>
      <c r="G2931" s="30" t="n"/>
      <c r="H2931" s="31">
        <f>IF(G2931="","",SUMIF(C$2:C2931,"Masuk",G$2:G2931)-SUMIF(C$2:C2931,"Keluar",G$2:G2931))</f>
        <v/>
      </c>
    </row>
    <row r="2932">
      <c r="A2932" s="22" t="n"/>
      <c r="B2932" s="23" t="n"/>
      <c r="C2932" s="24" t="n"/>
      <c r="D2932" s="17" t="n"/>
      <c r="E2932" s="17" t="n"/>
      <c r="F2932" s="17" t="n"/>
      <c r="G2932" s="15" t="n"/>
      <c r="H2932" s="25">
        <f>IF(G2932="","",SUMIF(C$2:C2932,"Masuk",G$2:G2932)-SUMIF(C$2:C2932,"Keluar",G$2:G2932))</f>
        <v/>
      </c>
    </row>
    <row r="2933">
      <c r="A2933" s="26" t="n"/>
      <c r="B2933" s="27" t="n"/>
      <c r="C2933" s="28" t="n"/>
      <c r="D2933" s="29" t="n"/>
      <c r="E2933" s="29" t="n"/>
      <c r="F2933" s="29" t="n"/>
      <c r="G2933" s="30" t="n"/>
      <c r="H2933" s="31">
        <f>IF(G2933="","",SUMIF(C$2:C2933,"Masuk",G$2:G2933)-SUMIF(C$2:C2933,"Keluar",G$2:G2933))</f>
        <v/>
      </c>
    </row>
    <row r="2934">
      <c r="A2934" s="22" t="n"/>
      <c r="B2934" s="23" t="n"/>
      <c r="C2934" s="24" t="n"/>
      <c r="D2934" s="17" t="n"/>
      <c r="E2934" s="17" t="n"/>
      <c r="F2934" s="17" t="n"/>
      <c r="G2934" s="15" t="n"/>
      <c r="H2934" s="25">
        <f>IF(G2934="","",SUMIF(C$2:C2934,"Masuk",G$2:G2934)-SUMIF(C$2:C2934,"Keluar",G$2:G2934))</f>
        <v/>
      </c>
    </row>
    <row r="2935">
      <c r="A2935" s="26" t="n"/>
      <c r="B2935" s="27" t="n"/>
      <c r="C2935" s="28" t="n"/>
      <c r="D2935" s="29" t="n"/>
      <c r="E2935" s="29" t="n"/>
      <c r="F2935" s="29" t="n"/>
      <c r="G2935" s="30" t="n"/>
      <c r="H2935" s="31">
        <f>IF(G2935="","",SUMIF(C$2:C2935,"Masuk",G$2:G2935)-SUMIF(C$2:C2935,"Keluar",G$2:G2935))</f>
        <v/>
      </c>
    </row>
    <row r="2936">
      <c r="A2936" s="22" t="n"/>
      <c r="B2936" s="23" t="n"/>
      <c r="C2936" s="24" t="n"/>
      <c r="D2936" s="17" t="n"/>
      <c r="E2936" s="17" t="n"/>
      <c r="F2936" s="17" t="n"/>
      <c r="G2936" s="15" t="n"/>
      <c r="H2936" s="25">
        <f>IF(G2936="","",SUMIF(C$2:C2936,"Masuk",G$2:G2936)-SUMIF(C$2:C2936,"Keluar",G$2:G2936))</f>
        <v/>
      </c>
    </row>
    <row r="2937">
      <c r="A2937" s="26" t="n"/>
      <c r="B2937" s="27" t="n"/>
      <c r="C2937" s="28" t="n"/>
      <c r="D2937" s="29" t="n"/>
      <c r="E2937" s="29" t="n"/>
      <c r="F2937" s="29" t="n"/>
      <c r="G2937" s="30" t="n"/>
      <c r="H2937" s="31">
        <f>IF(G2937="","",SUMIF(C$2:C2937,"Masuk",G$2:G2937)-SUMIF(C$2:C2937,"Keluar",G$2:G2937))</f>
        <v/>
      </c>
    </row>
    <row r="2938">
      <c r="A2938" s="22" t="n"/>
      <c r="B2938" s="23" t="n"/>
      <c r="C2938" s="24" t="n"/>
      <c r="D2938" s="17" t="n"/>
      <c r="E2938" s="17" t="n"/>
      <c r="F2938" s="17" t="n"/>
      <c r="G2938" s="15" t="n"/>
      <c r="H2938" s="25">
        <f>IF(G2938="","",SUMIF(C$2:C2938,"Masuk",G$2:G2938)-SUMIF(C$2:C2938,"Keluar",G$2:G2938))</f>
        <v/>
      </c>
    </row>
    <row r="2939">
      <c r="A2939" s="26" t="n"/>
      <c r="B2939" s="27" t="n"/>
      <c r="C2939" s="28" t="n"/>
      <c r="D2939" s="29" t="n"/>
      <c r="E2939" s="29" t="n"/>
      <c r="F2939" s="29" t="n"/>
      <c r="G2939" s="30" t="n"/>
      <c r="H2939" s="31">
        <f>IF(G2939="","",SUMIF(C$2:C2939,"Masuk",G$2:G2939)-SUMIF(C$2:C2939,"Keluar",G$2:G2939))</f>
        <v/>
      </c>
    </row>
    <row r="2940">
      <c r="A2940" s="22" t="n"/>
      <c r="B2940" s="23" t="n"/>
      <c r="C2940" s="24" t="n"/>
      <c r="D2940" s="17" t="n"/>
      <c r="E2940" s="17" t="n"/>
      <c r="F2940" s="17" t="n"/>
      <c r="G2940" s="15" t="n"/>
      <c r="H2940" s="25">
        <f>IF(G2940="","",SUMIF(C$2:C2940,"Masuk",G$2:G2940)-SUMIF(C$2:C2940,"Keluar",G$2:G2940))</f>
        <v/>
      </c>
    </row>
    <row r="2941">
      <c r="A2941" s="26" t="n"/>
      <c r="B2941" s="27" t="n"/>
      <c r="C2941" s="28" t="n"/>
      <c r="D2941" s="29" t="n"/>
      <c r="E2941" s="29" t="n"/>
      <c r="F2941" s="29" t="n"/>
      <c r="G2941" s="30" t="n"/>
      <c r="H2941" s="31">
        <f>IF(G2941="","",SUMIF(C$2:C2941,"Masuk",G$2:G2941)-SUMIF(C$2:C2941,"Keluar",G$2:G2941))</f>
        <v/>
      </c>
    </row>
    <row r="2942">
      <c r="A2942" s="22" t="n"/>
      <c r="B2942" s="23" t="n"/>
      <c r="C2942" s="24" t="n"/>
      <c r="D2942" s="17" t="n"/>
      <c r="E2942" s="17" t="n"/>
      <c r="F2942" s="17" t="n"/>
      <c r="G2942" s="15" t="n"/>
      <c r="H2942" s="25">
        <f>IF(G2942="","",SUMIF(C$2:C2942,"Masuk",G$2:G2942)-SUMIF(C$2:C2942,"Keluar",G$2:G2942))</f>
        <v/>
      </c>
    </row>
    <row r="2943">
      <c r="A2943" s="26" t="n"/>
      <c r="B2943" s="27" t="n"/>
      <c r="C2943" s="28" t="n"/>
      <c r="D2943" s="29" t="n"/>
      <c r="E2943" s="29" t="n"/>
      <c r="F2943" s="29" t="n"/>
      <c r="G2943" s="30" t="n"/>
      <c r="H2943" s="31">
        <f>IF(G2943="","",SUMIF(C$2:C2943,"Masuk",G$2:G2943)-SUMIF(C$2:C2943,"Keluar",G$2:G2943))</f>
        <v/>
      </c>
    </row>
    <row r="2944">
      <c r="A2944" s="22" t="n"/>
      <c r="B2944" s="23" t="n"/>
      <c r="C2944" s="24" t="n"/>
      <c r="D2944" s="17" t="n"/>
      <c r="E2944" s="17" t="n"/>
      <c r="F2944" s="17" t="n"/>
      <c r="G2944" s="15" t="n"/>
      <c r="H2944" s="25">
        <f>IF(G2944="","",SUMIF(C$2:C2944,"Masuk",G$2:G2944)-SUMIF(C$2:C2944,"Keluar",G$2:G2944))</f>
        <v/>
      </c>
    </row>
    <row r="2945">
      <c r="A2945" s="26" t="n"/>
      <c r="B2945" s="27" t="n"/>
      <c r="C2945" s="28" t="n"/>
      <c r="D2945" s="29" t="n"/>
      <c r="E2945" s="29" t="n"/>
      <c r="F2945" s="29" t="n"/>
      <c r="G2945" s="30" t="n"/>
      <c r="H2945" s="31">
        <f>IF(G2945="","",SUMIF(C$2:C2945,"Masuk",G$2:G2945)-SUMIF(C$2:C2945,"Keluar",G$2:G2945))</f>
        <v/>
      </c>
    </row>
    <row r="2946">
      <c r="A2946" s="22" t="n"/>
      <c r="B2946" s="23" t="n"/>
      <c r="C2946" s="24" t="n"/>
      <c r="D2946" s="17" t="n"/>
      <c r="E2946" s="17" t="n"/>
      <c r="F2946" s="17" t="n"/>
      <c r="G2946" s="15" t="n"/>
      <c r="H2946" s="25">
        <f>IF(G2946="","",SUMIF(C$2:C2946,"Masuk",G$2:G2946)-SUMIF(C$2:C2946,"Keluar",G$2:G2946))</f>
        <v/>
      </c>
    </row>
    <row r="2947">
      <c r="A2947" s="26" t="n"/>
      <c r="B2947" s="27" t="n"/>
      <c r="C2947" s="28" t="n"/>
      <c r="D2947" s="29" t="n"/>
      <c r="E2947" s="29" t="n"/>
      <c r="F2947" s="29" t="n"/>
      <c r="G2947" s="30" t="n"/>
      <c r="H2947" s="31">
        <f>IF(G2947="","",SUMIF(C$2:C2947,"Masuk",G$2:G2947)-SUMIF(C$2:C2947,"Keluar",G$2:G2947))</f>
        <v/>
      </c>
    </row>
    <row r="2948">
      <c r="A2948" s="22" t="n"/>
      <c r="B2948" s="23" t="n"/>
      <c r="C2948" s="24" t="n"/>
      <c r="D2948" s="17" t="n"/>
      <c r="E2948" s="17" t="n"/>
      <c r="F2948" s="17" t="n"/>
      <c r="G2948" s="15" t="n"/>
      <c r="H2948" s="25">
        <f>IF(G2948="","",SUMIF(C$2:C2948,"Masuk",G$2:G2948)-SUMIF(C$2:C2948,"Keluar",G$2:G2948))</f>
        <v/>
      </c>
    </row>
    <row r="2949">
      <c r="A2949" s="26" t="n"/>
      <c r="B2949" s="27" t="n"/>
      <c r="C2949" s="28" t="n"/>
      <c r="D2949" s="29" t="n"/>
      <c r="E2949" s="29" t="n"/>
      <c r="F2949" s="29" t="n"/>
      <c r="G2949" s="30" t="n"/>
      <c r="H2949" s="31">
        <f>IF(G2949="","",SUMIF(C$2:C2949,"Masuk",G$2:G2949)-SUMIF(C$2:C2949,"Keluar",G$2:G2949))</f>
        <v/>
      </c>
    </row>
    <row r="2950">
      <c r="A2950" s="22" t="n"/>
      <c r="B2950" s="23" t="n"/>
      <c r="C2950" s="24" t="n"/>
      <c r="D2950" s="17" t="n"/>
      <c r="E2950" s="17" t="n"/>
      <c r="F2950" s="17" t="n"/>
      <c r="G2950" s="15" t="n"/>
      <c r="H2950" s="25">
        <f>IF(G2950="","",SUMIF(C$2:C2950,"Masuk",G$2:G2950)-SUMIF(C$2:C2950,"Keluar",G$2:G2950))</f>
        <v/>
      </c>
    </row>
    <row r="2951">
      <c r="A2951" s="26" t="n"/>
      <c r="B2951" s="27" t="n"/>
      <c r="C2951" s="28" t="n"/>
      <c r="D2951" s="29" t="n"/>
      <c r="E2951" s="29" t="n"/>
      <c r="F2951" s="29" t="n"/>
      <c r="G2951" s="30" t="n"/>
      <c r="H2951" s="31">
        <f>IF(G2951="","",SUMIF(C$2:C2951,"Masuk",G$2:G2951)-SUMIF(C$2:C2951,"Keluar",G$2:G2951))</f>
        <v/>
      </c>
    </row>
    <row r="2952">
      <c r="A2952" s="22" t="n"/>
      <c r="B2952" s="23" t="n"/>
      <c r="C2952" s="24" t="n"/>
      <c r="D2952" s="17" t="n"/>
      <c r="E2952" s="17" t="n"/>
      <c r="F2952" s="17" t="n"/>
      <c r="G2952" s="15" t="n"/>
      <c r="H2952" s="25">
        <f>IF(G2952="","",SUMIF(C$2:C2952,"Masuk",G$2:G2952)-SUMIF(C$2:C2952,"Keluar",G$2:G2952))</f>
        <v/>
      </c>
    </row>
    <row r="2953">
      <c r="A2953" s="26" t="n"/>
      <c r="B2953" s="27" t="n"/>
      <c r="C2953" s="28" t="n"/>
      <c r="D2953" s="29" t="n"/>
      <c r="E2953" s="29" t="n"/>
      <c r="F2953" s="29" t="n"/>
      <c r="G2953" s="30" t="n"/>
      <c r="H2953" s="31">
        <f>IF(G2953="","",SUMIF(C$2:C2953,"Masuk",G$2:G2953)-SUMIF(C$2:C2953,"Keluar",G$2:G2953))</f>
        <v/>
      </c>
    </row>
    <row r="2954">
      <c r="A2954" s="22" t="n"/>
      <c r="B2954" s="23" t="n"/>
      <c r="C2954" s="24" t="n"/>
      <c r="D2954" s="17" t="n"/>
      <c r="E2954" s="17" t="n"/>
      <c r="F2954" s="17" t="n"/>
      <c r="G2954" s="15" t="n"/>
      <c r="H2954" s="25">
        <f>IF(G2954="","",SUMIF(C$2:C2954,"Masuk",G$2:G2954)-SUMIF(C$2:C2954,"Keluar",G$2:G2954))</f>
        <v/>
      </c>
    </row>
    <row r="2955">
      <c r="A2955" s="26" t="n"/>
      <c r="B2955" s="27" t="n"/>
      <c r="C2955" s="28" t="n"/>
      <c r="D2955" s="29" t="n"/>
      <c r="E2955" s="29" t="n"/>
      <c r="F2955" s="29" t="n"/>
      <c r="G2955" s="30" t="n"/>
      <c r="H2955" s="31">
        <f>IF(G2955="","",SUMIF(C$2:C2955,"Masuk",G$2:G2955)-SUMIF(C$2:C2955,"Keluar",G$2:G2955))</f>
        <v/>
      </c>
    </row>
    <row r="2956">
      <c r="A2956" s="22" t="n"/>
      <c r="B2956" s="23" t="n"/>
      <c r="C2956" s="24" t="n"/>
      <c r="D2956" s="17" t="n"/>
      <c r="E2956" s="17" t="n"/>
      <c r="F2956" s="17" t="n"/>
      <c r="G2956" s="15" t="n"/>
      <c r="H2956" s="25">
        <f>IF(G2956="","",SUMIF(C$2:C2956,"Masuk",G$2:G2956)-SUMIF(C$2:C2956,"Keluar",G$2:G2956))</f>
        <v/>
      </c>
    </row>
    <row r="2957">
      <c r="A2957" s="26" t="n"/>
      <c r="B2957" s="27" t="n"/>
      <c r="C2957" s="28" t="n"/>
      <c r="D2957" s="29" t="n"/>
      <c r="E2957" s="29" t="n"/>
      <c r="F2957" s="29" t="n"/>
      <c r="G2957" s="30" t="n"/>
      <c r="H2957" s="31">
        <f>IF(G2957="","",SUMIF(C$2:C2957,"Masuk",G$2:G2957)-SUMIF(C$2:C2957,"Keluar",G$2:G2957))</f>
        <v/>
      </c>
    </row>
    <row r="2958">
      <c r="A2958" s="22" t="n"/>
      <c r="B2958" s="23" t="n"/>
      <c r="C2958" s="24" t="n"/>
      <c r="D2958" s="17" t="n"/>
      <c r="E2958" s="17" t="n"/>
      <c r="F2958" s="17" t="n"/>
      <c r="G2958" s="15" t="n"/>
      <c r="H2958" s="25">
        <f>IF(G2958="","",SUMIF(C$2:C2958,"Masuk",G$2:G2958)-SUMIF(C$2:C2958,"Keluar",G$2:G2958))</f>
        <v/>
      </c>
    </row>
    <row r="2959">
      <c r="A2959" s="26" t="n"/>
      <c r="B2959" s="27" t="n"/>
      <c r="C2959" s="28" t="n"/>
      <c r="D2959" s="29" t="n"/>
      <c r="E2959" s="29" t="n"/>
      <c r="F2959" s="29" t="n"/>
      <c r="G2959" s="30" t="n"/>
      <c r="H2959" s="31">
        <f>IF(G2959="","",SUMIF(C$2:C2959,"Masuk",G$2:G2959)-SUMIF(C$2:C2959,"Keluar",G$2:G2959))</f>
        <v/>
      </c>
    </row>
    <row r="2960">
      <c r="A2960" s="22" t="n"/>
      <c r="B2960" s="23" t="n"/>
      <c r="C2960" s="24" t="n"/>
      <c r="D2960" s="17" t="n"/>
      <c r="E2960" s="17" t="n"/>
      <c r="F2960" s="17" t="n"/>
      <c r="G2960" s="15" t="n"/>
      <c r="H2960" s="25">
        <f>IF(G2960="","",SUMIF(C$2:C2960,"Masuk",G$2:G2960)-SUMIF(C$2:C2960,"Keluar",G$2:G2960))</f>
        <v/>
      </c>
    </row>
    <row r="2961">
      <c r="A2961" s="26" t="n"/>
      <c r="B2961" s="27" t="n"/>
      <c r="C2961" s="28" t="n"/>
      <c r="D2961" s="29" t="n"/>
      <c r="E2961" s="29" t="n"/>
      <c r="F2961" s="29" t="n"/>
      <c r="G2961" s="30" t="n"/>
      <c r="H2961" s="31">
        <f>IF(G2961="","",SUMIF(C$2:C2961,"Masuk",G$2:G2961)-SUMIF(C$2:C2961,"Keluar",G$2:G2961))</f>
        <v/>
      </c>
    </row>
    <row r="2962">
      <c r="A2962" s="22" t="n"/>
      <c r="B2962" s="23" t="n"/>
      <c r="C2962" s="24" t="n"/>
      <c r="D2962" s="17" t="n"/>
      <c r="E2962" s="17" t="n"/>
      <c r="F2962" s="17" t="n"/>
      <c r="G2962" s="15" t="n"/>
      <c r="H2962" s="25">
        <f>IF(G2962="","",SUMIF(C$2:C2962,"Masuk",G$2:G2962)-SUMIF(C$2:C2962,"Keluar",G$2:G2962))</f>
        <v/>
      </c>
    </row>
    <row r="2963">
      <c r="A2963" s="26" t="n"/>
      <c r="B2963" s="27" t="n"/>
      <c r="C2963" s="28" t="n"/>
      <c r="D2963" s="29" t="n"/>
      <c r="E2963" s="29" t="n"/>
      <c r="F2963" s="29" t="n"/>
      <c r="G2963" s="30" t="n"/>
      <c r="H2963" s="31">
        <f>IF(G2963="","",SUMIF(C$2:C2963,"Masuk",G$2:G2963)-SUMIF(C$2:C2963,"Keluar",G$2:G2963))</f>
        <v/>
      </c>
    </row>
    <row r="2964">
      <c r="A2964" s="22" t="n"/>
      <c r="B2964" s="23" t="n"/>
      <c r="C2964" s="24" t="n"/>
      <c r="D2964" s="17" t="n"/>
      <c r="E2964" s="17" t="n"/>
      <c r="F2964" s="17" t="n"/>
      <c r="G2964" s="15" t="n"/>
      <c r="H2964" s="25">
        <f>IF(G2964="","",SUMIF(C$2:C2964,"Masuk",G$2:G2964)-SUMIF(C$2:C2964,"Keluar",G$2:G2964))</f>
        <v/>
      </c>
    </row>
    <row r="2965">
      <c r="A2965" s="26" t="n"/>
      <c r="B2965" s="27" t="n"/>
      <c r="C2965" s="28" t="n"/>
      <c r="D2965" s="29" t="n"/>
      <c r="E2965" s="29" t="n"/>
      <c r="F2965" s="29" t="n"/>
      <c r="G2965" s="30" t="n"/>
      <c r="H2965" s="31">
        <f>IF(G2965="","",SUMIF(C$2:C2965,"Masuk",G$2:G2965)-SUMIF(C$2:C2965,"Keluar",G$2:G2965))</f>
        <v/>
      </c>
    </row>
    <row r="2966">
      <c r="A2966" s="22" t="n"/>
      <c r="B2966" s="23" t="n"/>
      <c r="C2966" s="24" t="n"/>
      <c r="D2966" s="17" t="n"/>
      <c r="E2966" s="17" t="n"/>
      <c r="F2966" s="17" t="n"/>
      <c r="G2966" s="15" t="n"/>
      <c r="H2966" s="25">
        <f>IF(G2966="","",SUMIF(C$2:C2966,"Masuk",G$2:G2966)-SUMIF(C$2:C2966,"Keluar",G$2:G2966))</f>
        <v/>
      </c>
    </row>
    <row r="2967">
      <c r="A2967" s="26" t="n"/>
      <c r="B2967" s="27" t="n"/>
      <c r="C2967" s="28" t="n"/>
      <c r="D2967" s="29" t="n"/>
      <c r="E2967" s="29" t="n"/>
      <c r="F2967" s="29" t="n"/>
      <c r="G2967" s="30" t="n"/>
      <c r="H2967" s="31">
        <f>IF(G2967="","",SUMIF(C$2:C2967,"Masuk",G$2:G2967)-SUMIF(C$2:C2967,"Keluar",G$2:G2967))</f>
        <v/>
      </c>
    </row>
    <row r="2968">
      <c r="A2968" s="22" t="n"/>
      <c r="B2968" s="23" t="n"/>
      <c r="C2968" s="24" t="n"/>
      <c r="D2968" s="17" t="n"/>
      <c r="E2968" s="17" t="n"/>
      <c r="F2968" s="17" t="n"/>
      <c r="G2968" s="15" t="n"/>
      <c r="H2968" s="25">
        <f>IF(G2968="","",SUMIF(C$2:C2968,"Masuk",G$2:G2968)-SUMIF(C$2:C2968,"Keluar",G$2:G2968))</f>
        <v/>
      </c>
    </row>
    <row r="2969">
      <c r="A2969" s="26" t="n"/>
      <c r="B2969" s="27" t="n"/>
      <c r="C2969" s="28" t="n"/>
      <c r="D2969" s="29" t="n"/>
      <c r="E2969" s="29" t="n"/>
      <c r="F2969" s="29" t="n"/>
      <c r="G2969" s="30" t="n"/>
      <c r="H2969" s="31">
        <f>IF(G2969="","",SUMIF(C$2:C2969,"Masuk",G$2:G2969)-SUMIF(C$2:C2969,"Keluar",G$2:G2969))</f>
        <v/>
      </c>
    </row>
    <row r="2970">
      <c r="A2970" s="22" t="n"/>
      <c r="B2970" s="23" t="n"/>
      <c r="C2970" s="24" t="n"/>
      <c r="D2970" s="17" t="n"/>
      <c r="E2970" s="17" t="n"/>
      <c r="F2970" s="17" t="n"/>
      <c r="G2970" s="15" t="n"/>
      <c r="H2970" s="25">
        <f>IF(G2970="","",SUMIF(C$2:C2970,"Masuk",G$2:G2970)-SUMIF(C$2:C2970,"Keluar",G$2:G2970))</f>
        <v/>
      </c>
    </row>
    <row r="2971">
      <c r="A2971" s="26" t="n"/>
      <c r="B2971" s="27" t="n"/>
      <c r="C2971" s="28" t="n"/>
      <c r="D2971" s="29" t="n"/>
      <c r="E2971" s="29" t="n"/>
      <c r="F2971" s="29" t="n"/>
      <c r="G2971" s="30" t="n"/>
      <c r="H2971" s="31">
        <f>IF(G2971="","",SUMIF(C$2:C2971,"Masuk",G$2:G2971)-SUMIF(C$2:C2971,"Keluar",G$2:G2971))</f>
        <v/>
      </c>
    </row>
    <row r="2972">
      <c r="A2972" s="22" t="n"/>
      <c r="B2972" s="23" t="n"/>
      <c r="C2972" s="24" t="n"/>
      <c r="D2972" s="17" t="n"/>
      <c r="E2972" s="17" t="n"/>
      <c r="F2972" s="17" t="n"/>
      <c r="G2972" s="15" t="n"/>
      <c r="H2972" s="25">
        <f>IF(G2972="","",SUMIF(C$2:C2972,"Masuk",G$2:G2972)-SUMIF(C$2:C2972,"Keluar",G$2:G2972))</f>
        <v/>
      </c>
    </row>
    <row r="2973">
      <c r="A2973" s="26" t="n"/>
      <c r="B2973" s="27" t="n"/>
      <c r="C2973" s="28" t="n"/>
      <c r="D2973" s="29" t="n"/>
      <c r="E2973" s="29" t="n"/>
      <c r="F2973" s="29" t="n"/>
      <c r="G2973" s="30" t="n"/>
      <c r="H2973" s="31">
        <f>IF(G2973="","",SUMIF(C$2:C2973,"Masuk",G$2:G2973)-SUMIF(C$2:C2973,"Keluar",G$2:G2973))</f>
        <v/>
      </c>
    </row>
    <row r="2974">
      <c r="A2974" s="22" t="n"/>
      <c r="B2974" s="23" t="n"/>
      <c r="C2974" s="24" t="n"/>
      <c r="D2974" s="17" t="n"/>
      <c r="E2974" s="17" t="n"/>
      <c r="F2974" s="17" t="n"/>
      <c r="G2974" s="15" t="n"/>
      <c r="H2974" s="25">
        <f>IF(G2974="","",SUMIF(C$2:C2974,"Masuk",G$2:G2974)-SUMIF(C$2:C2974,"Keluar",G$2:G2974))</f>
        <v/>
      </c>
    </row>
    <row r="2975">
      <c r="A2975" s="26" t="n"/>
      <c r="B2975" s="27" t="n"/>
      <c r="C2975" s="28" t="n"/>
      <c r="D2975" s="29" t="n"/>
      <c r="E2975" s="29" t="n"/>
      <c r="F2975" s="29" t="n"/>
      <c r="G2975" s="30" t="n"/>
      <c r="H2975" s="31">
        <f>IF(G2975="","",SUMIF(C$2:C2975,"Masuk",G$2:G2975)-SUMIF(C$2:C2975,"Keluar",G$2:G2975))</f>
        <v/>
      </c>
    </row>
    <row r="2976">
      <c r="A2976" s="22" t="n"/>
      <c r="B2976" s="23" t="n"/>
      <c r="C2976" s="24" t="n"/>
      <c r="D2976" s="17" t="n"/>
      <c r="E2976" s="17" t="n"/>
      <c r="F2976" s="17" t="n"/>
      <c r="G2976" s="15" t="n"/>
      <c r="H2976" s="25">
        <f>IF(G2976="","",SUMIF(C$2:C2976,"Masuk",G$2:G2976)-SUMIF(C$2:C2976,"Keluar",G$2:G2976))</f>
        <v/>
      </c>
    </row>
    <row r="2977">
      <c r="A2977" s="26" t="n"/>
      <c r="B2977" s="27" t="n"/>
      <c r="C2977" s="28" t="n"/>
      <c r="D2977" s="29" t="n"/>
      <c r="E2977" s="29" t="n"/>
      <c r="F2977" s="29" t="n"/>
      <c r="G2977" s="30" t="n"/>
      <c r="H2977" s="31">
        <f>IF(G2977="","",SUMIF(C$2:C2977,"Masuk",G$2:G2977)-SUMIF(C$2:C2977,"Keluar",G$2:G2977))</f>
        <v/>
      </c>
    </row>
    <row r="2978">
      <c r="A2978" s="22" t="n"/>
      <c r="B2978" s="23" t="n"/>
      <c r="C2978" s="24" t="n"/>
      <c r="D2978" s="17" t="n"/>
      <c r="E2978" s="17" t="n"/>
      <c r="F2978" s="17" t="n"/>
      <c r="G2978" s="15" t="n"/>
      <c r="H2978" s="25">
        <f>IF(G2978="","",SUMIF(C$2:C2978,"Masuk",G$2:G2978)-SUMIF(C$2:C2978,"Keluar",G$2:G2978))</f>
        <v/>
      </c>
    </row>
    <row r="2979">
      <c r="A2979" s="26" t="n"/>
      <c r="B2979" s="27" t="n"/>
      <c r="C2979" s="28" t="n"/>
      <c r="D2979" s="29" t="n"/>
      <c r="E2979" s="29" t="n"/>
      <c r="F2979" s="29" t="n"/>
      <c r="G2979" s="30" t="n"/>
      <c r="H2979" s="31">
        <f>IF(G2979="","",SUMIF(C$2:C2979,"Masuk",G$2:G2979)-SUMIF(C$2:C2979,"Keluar",G$2:G2979))</f>
        <v/>
      </c>
    </row>
    <row r="2980">
      <c r="A2980" s="22" t="n"/>
      <c r="B2980" s="23" t="n"/>
      <c r="C2980" s="24" t="n"/>
      <c r="D2980" s="17" t="n"/>
      <c r="E2980" s="17" t="n"/>
      <c r="F2980" s="17" t="n"/>
      <c r="G2980" s="15" t="n"/>
      <c r="H2980" s="25">
        <f>IF(G2980="","",SUMIF(C$2:C2980,"Masuk",G$2:G2980)-SUMIF(C$2:C2980,"Keluar",G$2:G2980))</f>
        <v/>
      </c>
    </row>
    <row r="2981">
      <c r="A2981" s="26" t="n"/>
      <c r="B2981" s="27" t="n"/>
      <c r="C2981" s="28" t="n"/>
      <c r="D2981" s="29" t="n"/>
      <c r="E2981" s="29" t="n"/>
      <c r="F2981" s="29" t="n"/>
      <c r="G2981" s="30" t="n"/>
      <c r="H2981" s="31">
        <f>IF(G2981="","",SUMIF(C$2:C2981,"Masuk",G$2:G2981)-SUMIF(C$2:C2981,"Keluar",G$2:G2981))</f>
        <v/>
      </c>
    </row>
    <row r="2982">
      <c r="A2982" s="22" t="n"/>
      <c r="B2982" s="23" t="n"/>
      <c r="C2982" s="24" t="n"/>
      <c r="D2982" s="17" t="n"/>
      <c r="E2982" s="17" t="n"/>
      <c r="F2982" s="17" t="n"/>
      <c r="G2982" s="15" t="n"/>
      <c r="H2982" s="25">
        <f>IF(G2982="","",SUMIF(C$2:C2982,"Masuk",G$2:G2982)-SUMIF(C$2:C2982,"Keluar",G$2:G2982))</f>
        <v/>
      </c>
    </row>
    <row r="2983">
      <c r="A2983" s="26" t="n"/>
      <c r="B2983" s="27" t="n"/>
      <c r="C2983" s="28" t="n"/>
      <c r="D2983" s="29" t="n"/>
      <c r="E2983" s="29" t="n"/>
      <c r="F2983" s="29" t="n"/>
      <c r="G2983" s="30" t="n"/>
      <c r="H2983" s="31">
        <f>IF(G2983="","",SUMIF(C$2:C2983,"Masuk",G$2:G2983)-SUMIF(C$2:C2983,"Keluar",G$2:G2983))</f>
        <v/>
      </c>
    </row>
    <row r="2984">
      <c r="A2984" s="22" t="n"/>
      <c r="B2984" s="23" t="n"/>
      <c r="C2984" s="24" t="n"/>
      <c r="D2984" s="17" t="n"/>
      <c r="E2984" s="17" t="n"/>
      <c r="F2984" s="17" t="n"/>
      <c r="G2984" s="15" t="n"/>
      <c r="H2984" s="25">
        <f>IF(G2984="","",SUMIF(C$2:C2984,"Masuk",G$2:G2984)-SUMIF(C$2:C2984,"Keluar",G$2:G2984))</f>
        <v/>
      </c>
    </row>
    <row r="2985">
      <c r="A2985" s="26" t="n"/>
      <c r="B2985" s="27" t="n"/>
      <c r="C2985" s="28" t="n"/>
      <c r="D2985" s="29" t="n"/>
      <c r="E2985" s="29" t="n"/>
      <c r="F2985" s="29" t="n"/>
      <c r="G2985" s="30" t="n"/>
      <c r="H2985" s="31">
        <f>IF(G2985="","",SUMIF(C$2:C2985,"Masuk",G$2:G2985)-SUMIF(C$2:C2985,"Keluar",G$2:G2985))</f>
        <v/>
      </c>
    </row>
    <row r="2986">
      <c r="A2986" s="22" t="n"/>
      <c r="B2986" s="23" t="n"/>
      <c r="C2986" s="24" t="n"/>
      <c r="D2986" s="17" t="n"/>
      <c r="E2986" s="17" t="n"/>
      <c r="F2986" s="17" t="n"/>
      <c r="G2986" s="15" t="n"/>
      <c r="H2986" s="25">
        <f>IF(G2986="","",SUMIF(C$2:C2986,"Masuk",G$2:G2986)-SUMIF(C$2:C2986,"Keluar",G$2:G2986))</f>
        <v/>
      </c>
    </row>
    <row r="2987">
      <c r="A2987" s="26" t="n"/>
      <c r="B2987" s="27" t="n"/>
      <c r="C2987" s="28" t="n"/>
      <c r="D2987" s="29" t="n"/>
      <c r="E2987" s="29" t="n"/>
      <c r="F2987" s="29" t="n"/>
      <c r="G2987" s="30" t="n"/>
      <c r="H2987" s="31">
        <f>IF(G2987="","",SUMIF(C$2:C2987,"Masuk",G$2:G2987)-SUMIF(C$2:C2987,"Keluar",G$2:G2987))</f>
        <v/>
      </c>
    </row>
    <row r="2988">
      <c r="A2988" s="22" t="n"/>
      <c r="B2988" s="23" t="n"/>
      <c r="C2988" s="24" t="n"/>
      <c r="D2988" s="17" t="n"/>
      <c r="E2988" s="17" t="n"/>
      <c r="F2988" s="17" t="n"/>
      <c r="G2988" s="15" t="n"/>
      <c r="H2988" s="25">
        <f>IF(G2988="","",SUMIF(C$2:C2988,"Masuk",G$2:G2988)-SUMIF(C$2:C2988,"Keluar",G$2:G2988))</f>
        <v/>
      </c>
    </row>
    <row r="2989">
      <c r="A2989" s="26" t="n"/>
      <c r="B2989" s="27" t="n"/>
      <c r="C2989" s="28" t="n"/>
      <c r="D2989" s="29" t="n"/>
      <c r="E2989" s="29" t="n"/>
      <c r="F2989" s="29" t="n"/>
      <c r="G2989" s="30" t="n"/>
      <c r="H2989" s="31">
        <f>IF(G2989="","",SUMIF(C$2:C2989,"Masuk",G$2:G2989)-SUMIF(C$2:C2989,"Keluar",G$2:G2989))</f>
        <v/>
      </c>
    </row>
    <row r="2990">
      <c r="A2990" s="22" t="n"/>
      <c r="B2990" s="23" t="n"/>
      <c r="C2990" s="24" t="n"/>
      <c r="D2990" s="17" t="n"/>
      <c r="E2990" s="17" t="n"/>
      <c r="F2990" s="17" t="n"/>
      <c r="G2990" s="15" t="n"/>
      <c r="H2990" s="25">
        <f>IF(G2990="","",SUMIF(C$2:C2990,"Masuk",G$2:G2990)-SUMIF(C$2:C2990,"Keluar",G$2:G2990))</f>
        <v/>
      </c>
    </row>
    <row r="2991">
      <c r="A2991" s="26" t="n"/>
      <c r="B2991" s="27" t="n"/>
      <c r="C2991" s="28" t="n"/>
      <c r="D2991" s="29" t="n"/>
      <c r="E2991" s="29" t="n"/>
      <c r="F2991" s="29" t="n"/>
      <c r="G2991" s="30" t="n"/>
      <c r="H2991" s="31">
        <f>IF(G2991="","",SUMIF(C$2:C2991,"Masuk",G$2:G2991)-SUMIF(C$2:C2991,"Keluar",G$2:G2991))</f>
        <v/>
      </c>
    </row>
    <row r="2992">
      <c r="A2992" s="22" t="n"/>
      <c r="B2992" s="23" t="n"/>
      <c r="C2992" s="24" t="n"/>
      <c r="D2992" s="17" t="n"/>
      <c r="E2992" s="17" t="n"/>
      <c r="F2992" s="17" t="n"/>
      <c r="G2992" s="15" t="n"/>
      <c r="H2992" s="25">
        <f>IF(G2992="","",SUMIF(C$2:C2992,"Masuk",G$2:G2992)-SUMIF(C$2:C2992,"Keluar",G$2:G2992))</f>
        <v/>
      </c>
    </row>
    <row r="2993">
      <c r="A2993" s="26" t="n"/>
      <c r="B2993" s="27" t="n"/>
      <c r="C2993" s="28" t="n"/>
      <c r="D2993" s="29" t="n"/>
      <c r="E2993" s="29" t="n"/>
      <c r="F2993" s="29" t="n"/>
      <c r="G2993" s="30" t="n"/>
      <c r="H2993" s="31">
        <f>IF(G2993="","",SUMIF(C$2:C2993,"Masuk",G$2:G2993)-SUMIF(C$2:C2993,"Keluar",G$2:G2993))</f>
        <v/>
      </c>
    </row>
    <row r="2994">
      <c r="A2994" s="22" t="n"/>
      <c r="B2994" s="23" t="n"/>
      <c r="C2994" s="24" t="n"/>
      <c r="D2994" s="17" t="n"/>
      <c r="E2994" s="17" t="n"/>
      <c r="F2994" s="17" t="n"/>
      <c r="G2994" s="15" t="n"/>
      <c r="H2994" s="25">
        <f>IF(G2994="","",SUMIF(C$2:C2994,"Masuk",G$2:G2994)-SUMIF(C$2:C2994,"Keluar",G$2:G2994))</f>
        <v/>
      </c>
    </row>
    <row r="2995">
      <c r="A2995" s="26" t="n"/>
      <c r="B2995" s="27" t="n"/>
      <c r="C2995" s="28" t="n"/>
      <c r="D2995" s="29" t="n"/>
      <c r="E2995" s="29" t="n"/>
      <c r="F2995" s="29" t="n"/>
      <c r="G2995" s="30" t="n"/>
      <c r="H2995" s="31">
        <f>IF(G2995="","",SUMIF(C$2:C2995,"Masuk",G$2:G2995)-SUMIF(C$2:C2995,"Keluar",G$2:G2995))</f>
        <v/>
      </c>
    </row>
    <row r="2996">
      <c r="A2996" s="22" t="n"/>
      <c r="B2996" s="23" t="n"/>
      <c r="C2996" s="24" t="n"/>
      <c r="D2996" s="17" t="n"/>
      <c r="E2996" s="17" t="n"/>
      <c r="F2996" s="17" t="n"/>
      <c r="G2996" s="15" t="n"/>
      <c r="H2996" s="25">
        <f>IF(G2996="","",SUMIF(C$2:C2996,"Masuk",G$2:G2996)-SUMIF(C$2:C2996,"Keluar",G$2:G2996))</f>
        <v/>
      </c>
    </row>
    <row r="2997">
      <c r="A2997" s="26" t="n"/>
      <c r="B2997" s="27" t="n"/>
      <c r="C2997" s="28" t="n"/>
      <c r="D2997" s="29" t="n"/>
      <c r="E2997" s="29" t="n"/>
      <c r="F2997" s="29" t="n"/>
      <c r="G2997" s="30" t="n"/>
      <c r="H2997" s="31">
        <f>IF(G2997="","",SUMIF(C$2:C2997,"Masuk",G$2:G2997)-SUMIF(C$2:C2997,"Keluar",G$2:G2997))</f>
        <v/>
      </c>
    </row>
    <row r="2998">
      <c r="A2998" s="22" t="n"/>
      <c r="B2998" s="23" t="n"/>
      <c r="C2998" s="24" t="n"/>
      <c r="D2998" s="17" t="n"/>
      <c r="E2998" s="17" t="n"/>
      <c r="F2998" s="17" t="n"/>
      <c r="G2998" s="15" t="n"/>
      <c r="H2998" s="25">
        <f>IF(G2998="","",SUMIF(C$2:C2998,"Masuk",G$2:G2998)-SUMIF(C$2:C2998,"Keluar",G$2:G2998))</f>
        <v/>
      </c>
    </row>
    <row r="2999">
      <c r="A2999" s="26" t="n"/>
      <c r="B2999" s="27" t="n"/>
      <c r="C2999" s="28" t="n"/>
      <c r="D2999" s="29" t="n"/>
      <c r="E2999" s="29" t="n"/>
      <c r="F2999" s="29" t="n"/>
      <c r="G2999" s="30" t="n"/>
      <c r="H2999" s="31">
        <f>IF(G2999="","",SUMIF(C$2:C2999,"Masuk",G$2:G2999)-SUMIF(C$2:C2999,"Keluar",G$2:G2999))</f>
        <v/>
      </c>
    </row>
    <row r="3000">
      <c r="A3000" s="22" t="n"/>
      <c r="B3000" s="23" t="n"/>
      <c r="C3000" s="24" t="n"/>
      <c r="D3000" s="17" t="n"/>
      <c r="E3000" s="17" t="n"/>
      <c r="F3000" s="17" t="n"/>
      <c r="G3000" s="15" t="n"/>
      <c r="H3000" s="25">
        <f>IF(G3000="","",SUMIF(C$2:C3000,"Masuk",G$2:G3000)-SUMIF(C$2:C3000,"Keluar",G$2:G3000))</f>
        <v/>
      </c>
    </row>
  </sheetData>
  <autoFilter ref="A1:H3000"/>
  <conditionalFormatting sqref="C2:C3000">
    <cfRule type="cellIs" priority="1" operator="equal" dxfId="1">
      <formula>"Masuk"</formula>
    </cfRule>
    <cfRule type="cellIs" priority="2" operator="equal" dxfId="2">
      <formula>"Keluar"</formula>
    </cfRule>
  </conditionalFormatting>
  <conditionalFormatting sqref="G2:G3000">
    <cfRule type="expression" priority="3" dxfId="3">
      <formula>$C2="Keluar"</formula>
    </cfRule>
    <cfRule type="expression" priority="4" dxfId="4">
      <formula>$C2="Masuk"</formula>
    </cfRule>
  </conditionalFormatting>
  <dataValidations count="3">
    <dataValidation sqref="C2:C3000" showDropDown="0" showInputMessage="0" showErrorMessage="0" allowBlank="1" type="list">
      <formula1>"Masuk,Keluar"</formula1>
    </dataValidation>
    <dataValidation sqref="D2:D3000" showDropDown="0" showInputMessage="0" showErrorMessage="0" allowBlank="1" type="list">
      <formula1>=Tetapan!$I$5:$J$11</formula1>
    </dataValidation>
    <dataValidation sqref="E2:E3000" showDropDown="0" showInputMessage="0" showErrorMessage="0" allowBlank="1" type="list">
      <formula1>=Tetapan!$A$5:$A$19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59E0B"/>
    <outlinePr summaryBelow="1" summaryRight="1"/>
    <pageSetUpPr/>
  </sheetPr>
  <dimension ref="A1:J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6" customWidth="1" min="4" max="4"/>
    <col width="15" customWidth="1" min="5" max="5"/>
    <col width="16" customWidth="1" min="6" max="6"/>
    <col width="17" customWidth="1" min="7" max="7"/>
    <col width="16" customWidth="1" min="8" max="8"/>
    <col width="12" customWidth="1" min="9" max="9"/>
  </cols>
  <sheetData>
    <row r="1" ht="36" customHeight="1">
      <c r="A1" s="1" t="inlineStr">
        <is>
          <t>Yuran Ahli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Bayaran sebenar berbanding jangkaan (berdasarkan tempoh di Tetapan). Anggaran sahaja.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6" customHeight="1">
      <c r="A4" s="11" t="inlineStr">
        <is>
          <t>Ahli</t>
        </is>
      </c>
      <c r="B4" s="11" t="inlineStr">
        <is>
          <t>Kelab dibayar</t>
        </is>
      </c>
      <c r="C4" s="11" t="inlineStr">
        <is>
          <t>Kelab jangkaan</t>
        </is>
      </c>
      <c r="D4" s="11" t="inlineStr">
        <is>
          <t>Tunggakan Kelab</t>
        </is>
      </c>
      <c r="E4" s="11" t="inlineStr">
        <is>
          <t>Lawatan dibayar</t>
        </is>
      </c>
      <c r="F4" s="11" t="inlineStr">
        <is>
          <t>Lawatan jangkaan</t>
        </is>
      </c>
      <c r="G4" s="11" t="inlineStr">
        <is>
          <t>Tunggakan Lawatan</t>
        </is>
      </c>
      <c r="H4" s="11" t="inlineStr">
        <is>
          <t>Jumlah tunggakan</t>
        </is>
      </c>
      <c r="I4" s="11" t="inlineStr">
        <is>
          <t>Status</t>
        </is>
      </c>
    </row>
    <row r="5">
      <c r="A5" s="32">
        <f>Tetapan!A5</f>
        <v/>
      </c>
      <c r="B5" s="33">
        <f>SUMIFS(Transaksi!G:G,Transaksi!C:C,"Masuk",Transaksi!D:D,"Yuran Kelab",Transaksi!E:E,A5)</f>
        <v/>
      </c>
      <c r="C5" s="33">
        <f>MAX(0,DATEDIF(Tetapan!B5,IF(Tetapan!C5="",TODAY(),MIN(Tetapan!C5,TODAY())),"M")+1)*Tetapan!D5</f>
        <v/>
      </c>
      <c r="D5" s="33">
        <f>MAX(0,C5-B5)</f>
        <v/>
      </c>
      <c r="E5" s="33">
        <f>SUMIFS(Transaksi!G:G,Transaksi!C:C,"Masuk",Transaksi!D:D,"Yuran Lawatan",Transaksi!E:E,A5)-SUMIFS(Transaksi!G:G,Transaksi!C:C,"Keluar",Transaksi!D:D,"Refund",Transaksi!E:E,A5)</f>
        <v/>
      </c>
      <c r="F5" s="33">
        <f>MAX(0,DATEDIF(Tetapan!B5,IF(Tetapan!C5="",Tetapan!$B$21,MIN(Tetapan!C5,Tetapan!$B$21)),"M")+1)*Tetapan!E5</f>
        <v/>
      </c>
      <c r="G5" s="33">
        <f>MAX(0,F5-E5)</f>
        <v/>
      </c>
      <c r="H5" s="33">
        <f>D5+G5</f>
        <v/>
      </c>
      <c r="I5" s="34">
        <f>IF(H5=0,"Selesai","Tunggak")</f>
        <v/>
      </c>
    </row>
    <row r="6">
      <c r="A6" s="32">
        <f>Tetapan!A6</f>
        <v/>
      </c>
      <c r="B6" s="33">
        <f>SUMIFS(Transaksi!G:G,Transaksi!C:C,"Masuk",Transaksi!D:D,"Yuran Kelab",Transaksi!E:E,A6)</f>
        <v/>
      </c>
      <c r="C6" s="33">
        <f>MAX(0,DATEDIF(Tetapan!B6,IF(Tetapan!C6="",TODAY(),MIN(Tetapan!C6,TODAY())),"M")+1)*Tetapan!D6</f>
        <v/>
      </c>
      <c r="D6" s="33">
        <f>MAX(0,C6-B6)</f>
        <v/>
      </c>
      <c r="E6" s="33">
        <f>SUMIFS(Transaksi!G:G,Transaksi!C:C,"Masuk",Transaksi!D:D,"Yuran Lawatan",Transaksi!E:E,A6)-SUMIFS(Transaksi!G:G,Transaksi!C:C,"Keluar",Transaksi!D:D,"Refund",Transaksi!E:E,A6)</f>
        <v/>
      </c>
      <c r="F6" s="33">
        <f>MAX(0,DATEDIF(Tetapan!B6,IF(Tetapan!C6="",Tetapan!$B$21,MIN(Tetapan!C6,Tetapan!$B$21)),"M")+1)*Tetapan!E6</f>
        <v/>
      </c>
      <c r="G6" s="33">
        <f>MAX(0,F6-E6)</f>
        <v/>
      </c>
      <c r="H6" s="33">
        <f>D6+G6</f>
        <v/>
      </c>
      <c r="I6" s="34">
        <f>IF(H6=0,"Selesai","Tunggak")</f>
        <v/>
      </c>
    </row>
    <row r="7">
      <c r="A7" s="32">
        <f>Tetapan!A7</f>
        <v/>
      </c>
      <c r="B7" s="33">
        <f>SUMIFS(Transaksi!G:G,Transaksi!C:C,"Masuk",Transaksi!D:D,"Yuran Kelab",Transaksi!E:E,A7)</f>
        <v/>
      </c>
      <c r="C7" s="33">
        <f>MAX(0,DATEDIF(Tetapan!B7,IF(Tetapan!C7="",TODAY(),MIN(Tetapan!C7,TODAY())),"M")+1)*Tetapan!D7</f>
        <v/>
      </c>
      <c r="D7" s="33">
        <f>MAX(0,C7-B7)</f>
        <v/>
      </c>
      <c r="E7" s="33">
        <f>SUMIFS(Transaksi!G:G,Transaksi!C:C,"Masuk",Transaksi!D:D,"Yuran Lawatan",Transaksi!E:E,A7)-SUMIFS(Transaksi!G:G,Transaksi!C:C,"Keluar",Transaksi!D:D,"Refund",Transaksi!E:E,A7)</f>
        <v/>
      </c>
      <c r="F7" s="33">
        <f>MAX(0,DATEDIF(Tetapan!B7,IF(Tetapan!C7="",Tetapan!$B$21,MIN(Tetapan!C7,Tetapan!$B$21)),"M")+1)*Tetapan!E7</f>
        <v/>
      </c>
      <c r="G7" s="33">
        <f>MAX(0,F7-E7)</f>
        <v/>
      </c>
      <c r="H7" s="33">
        <f>D7+G7</f>
        <v/>
      </c>
      <c r="I7" s="34">
        <f>IF(H7=0,"Selesai","Tunggak")</f>
        <v/>
      </c>
    </row>
    <row r="8">
      <c r="A8" s="32">
        <f>Tetapan!A8</f>
        <v/>
      </c>
      <c r="B8" s="33">
        <f>SUMIFS(Transaksi!G:G,Transaksi!C:C,"Masuk",Transaksi!D:D,"Yuran Kelab",Transaksi!E:E,A8)</f>
        <v/>
      </c>
      <c r="C8" s="33">
        <f>MAX(0,DATEDIF(Tetapan!B8,IF(Tetapan!C8="",TODAY(),MIN(Tetapan!C8,TODAY())),"M")+1)*Tetapan!D8</f>
        <v/>
      </c>
      <c r="D8" s="33">
        <f>MAX(0,C8-B8)</f>
        <v/>
      </c>
      <c r="E8" s="33">
        <f>SUMIFS(Transaksi!G:G,Transaksi!C:C,"Masuk",Transaksi!D:D,"Yuran Lawatan",Transaksi!E:E,A8)-SUMIFS(Transaksi!G:G,Transaksi!C:C,"Keluar",Transaksi!D:D,"Refund",Transaksi!E:E,A8)</f>
        <v/>
      </c>
      <c r="F8" s="33">
        <f>MAX(0,DATEDIF(Tetapan!B8,IF(Tetapan!C8="",Tetapan!$B$21,MIN(Tetapan!C8,Tetapan!$B$21)),"M")+1)*Tetapan!E8</f>
        <v/>
      </c>
      <c r="G8" s="33">
        <f>MAX(0,F8-E8)</f>
        <v/>
      </c>
      <c r="H8" s="33">
        <f>D8+G8</f>
        <v/>
      </c>
      <c r="I8" s="34">
        <f>IF(H8=0,"Selesai","Tunggak")</f>
        <v/>
      </c>
    </row>
    <row r="9">
      <c r="A9" s="32">
        <f>Tetapan!A9</f>
        <v/>
      </c>
      <c r="B9" s="33">
        <f>SUMIFS(Transaksi!G:G,Transaksi!C:C,"Masuk",Transaksi!D:D,"Yuran Kelab",Transaksi!E:E,A9)</f>
        <v/>
      </c>
      <c r="C9" s="33">
        <f>MAX(0,DATEDIF(Tetapan!B9,IF(Tetapan!C9="",TODAY(),MIN(Tetapan!C9,TODAY())),"M")+1)*Tetapan!D9</f>
        <v/>
      </c>
      <c r="D9" s="33">
        <f>MAX(0,C9-B9)</f>
        <v/>
      </c>
      <c r="E9" s="33">
        <f>SUMIFS(Transaksi!G:G,Transaksi!C:C,"Masuk",Transaksi!D:D,"Yuran Lawatan",Transaksi!E:E,A9)-SUMIFS(Transaksi!G:G,Transaksi!C:C,"Keluar",Transaksi!D:D,"Refund",Transaksi!E:E,A9)</f>
        <v/>
      </c>
      <c r="F9" s="33">
        <f>MAX(0,DATEDIF(Tetapan!B9,IF(Tetapan!C9="",Tetapan!$B$21,MIN(Tetapan!C9,Tetapan!$B$21)),"M")+1)*Tetapan!E9</f>
        <v/>
      </c>
      <c r="G9" s="33">
        <f>MAX(0,F9-E9)</f>
        <v/>
      </c>
      <c r="H9" s="33">
        <f>D9+G9</f>
        <v/>
      </c>
      <c r="I9" s="34">
        <f>IF(H9=0,"Selesai","Tunggak")</f>
        <v/>
      </c>
    </row>
    <row r="10">
      <c r="A10" s="32">
        <f>Tetapan!A10</f>
        <v/>
      </c>
      <c r="B10" s="33">
        <f>SUMIFS(Transaksi!G:G,Transaksi!C:C,"Masuk",Transaksi!D:D,"Yuran Kelab",Transaksi!E:E,A10)</f>
        <v/>
      </c>
      <c r="C10" s="33">
        <f>MAX(0,DATEDIF(Tetapan!B10,IF(Tetapan!C10="",TODAY(),MIN(Tetapan!C10,TODAY())),"M")+1)*Tetapan!D10</f>
        <v/>
      </c>
      <c r="D10" s="33">
        <f>MAX(0,C10-B10)</f>
        <v/>
      </c>
      <c r="E10" s="33">
        <f>SUMIFS(Transaksi!G:G,Transaksi!C:C,"Masuk",Transaksi!D:D,"Yuran Lawatan",Transaksi!E:E,A10)-SUMIFS(Transaksi!G:G,Transaksi!C:C,"Keluar",Transaksi!D:D,"Refund",Transaksi!E:E,A10)</f>
        <v/>
      </c>
      <c r="F10" s="33">
        <f>MAX(0,DATEDIF(Tetapan!B10,IF(Tetapan!C10="",Tetapan!$B$21,MIN(Tetapan!C10,Tetapan!$B$21)),"M")+1)*Tetapan!E10</f>
        <v/>
      </c>
      <c r="G10" s="33">
        <f>MAX(0,F10-E10)</f>
        <v/>
      </c>
      <c r="H10" s="33">
        <f>D10+G10</f>
        <v/>
      </c>
      <c r="I10" s="34">
        <f>IF(H10=0,"Selesai","Tunggak")</f>
        <v/>
      </c>
    </row>
    <row r="11">
      <c r="A11" s="32">
        <f>Tetapan!A11</f>
        <v/>
      </c>
      <c r="B11" s="33">
        <f>SUMIFS(Transaksi!G:G,Transaksi!C:C,"Masuk",Transaksi!D:D,"Yuran Kelab",Transaksi!E:E,A11)</f>
        <v/>
      </c>
      <c r="C11" s="33">
        <f>MAX(0,DATEDIF(Tetapan!B11,IF(Tetapan!C11="",TODAY(),MIN(Tetapan!C11,TODAY())),"M")+1)*Tetapan!D11</f>
        <v/>
      </c>
      <c r="D11" s="33">
        <f>MAX(0,C11-B11)</f>
        <v/>
      </c>
      <c r="E11" s="33">
        <f>SUMIFS(Transaksi!G:G,Transaksi!C:C,"Masuk",Transaksi!D:D,"Yuran Lawatan",Transaksi!E:E,A11)-SUMIFS(Transaksi!G:G,Transaksi!C:C,"Keluar",Transaksi!D:D,"Refund",Transaksi!E:E,A11)</f>
        <v/>
      </c>
      <c r="F11" s="33">
        <f>MAX(0,DATEDIF(Tetapan!B11,IF(Tetapan!C11="",Tetapan!$B$21,MIN(Tetapan!C11,Tetapan!$B$21)),"M")+1)*Tetapan!E11</f>
        <v/>
      </c>
      <c r="G11" s="33">
        <f>MAX(0,F11-E11)</f>
        <v/>
      </c>
      <c r="H11" s="33">
        <f>D11+G11</f>
        <v/>
      </c>
      <c r="I11" s="34">
        <f>IF(H11=0,"Selesai","Tunggak")</f>
        <v/>
      </c>
    </row>
    <row r="12">
      <c r="A12" s="32">
        <f>Tetapan!A12</f>
        <v/>
      </c>
      <c r="B12" s="33">
        <f>SUMIFS(Transaksi!G:G,Transaksi!C:C,"Masuk",Transaksi!D:D,"Yuran Kelab",Transaksi!E:E,A12)</f>
        <v/>
      </c>
      <c r="C12" s="33">
        <f>MAX(0,DATEDIF(Tetapan!B12,IF(Tetapan!C12="",TODAY(),MIN(Tetapan!C12,TODAY())),"M")+1)*Tetapan!D12</f>
        <v/>
      </c>
      <c r="D12" s="33">
        <f>MAX(0,C12-B12)</f>
        <v/>
      </c>
      <c r="E12" s="33">
        <f>SUMIFS(Transaksi!G:G,Transaksi!C:C,"Masuk",Transaksi!D:D,"Yuran Lawatan",Transaksi!E:E,A12)-SUMIFS(Transaksi!G:G,Transaksi!C:C,"Keluar",Transaksi!D:D,"Refund",Transaksi!E:E,A12)</f>
        <v/>
      </c>
      <c r="F12" s="33">
        <f>MAX(0,DATEDIF(Tetapan!B12,IF(Tetapan!C12="",Tetapan!$B$21,MIN(Tetapan!C12,Tetapan!$B$21)),"M")+1)*Tetapan!E12</f>
        <v/>
      </c>
      <c r="G12" s="33">
        <f>MAX(0,F12-E12)</f>
        <v/>
      </c>
      <c r="H12" s="33">
        <f>D12+G12</f>
        <v/>
      </c>
      <c r="I12" s="34">
        <f>IF(H12=0,"Selesai","Tunggak")</f>
        <v/>
      </c>
    </row>
    <row r="13">
      <c r="A13" s="32">
        <f>Tetapan!A13</f>
        <v/>
      </c>
      <c r="B13" s="33">
        <f>SUMIFS(Transaksi!G:G,Transaksi!C:C,"Masuk",Transaksi!D:D,"Yuran Kelab",Transaksi!E:E,A13)</f>
        <v/>
      </c>
      <c r="C13" s="33">
        <f>MAX(0,DATEDIF(Tetapan!B13,IF(Tetapan!C13="",TODAY(),MIN(Tetapan!C13,TODAY())),"M")+1)*Tetapan!D13</f>
        <v/>
      </c>
      <c r="D13" s="33">
        <f>MAX(0,C13-B13)</f>
        <v/>
      </c>
      <c r="E13" s="33">
        <f>SUMIFS(Transaksi!G:G,Transaksi!C:C,"Masuk",Transaksi!D:D,"Yuran Lawatan",Transaksi!E:E,A13)-SUMIFS(Transaksi!G:G,Transaksi!C:C,"Keluar",Transaksi!D:D,"Refund",Transaksi!E:E,A13)</f>
        <v/>
      </c>
      <c r="F13" s="33">
        <f>MAX(0,DATEDIF(Tetapan!B13,IF(Tetapan!C13="",Tetapan!$B$21,MIN(Tetapan!C13,Tetapan!$B$21)),"M")+1)*Tetapan!E13</f>
        <v/>
      </c>
      <c r="G13" s="33">
        <f>MAX(0,F13-E13)</f>
        <v/>
      </c>
      <c r="H13" s="33">
        <f>D13+G13</f>
        <v/>
      </c>
      <c r="I13" s="34">
        <f>IF(H13=0,"Selesai","Tunggak")</f>
        <v/>
      </c>
    </row>
    <row r="14">
      <c r="A14" s="32">
        <f>Tetapan!A14</f>
        <v/>
      </c>
      <c r="B14" s="33">
        <f>SUMIFS(Transaksi!G:G,Transaksi!C:C,"Masuk",Transaksi!D:D,"Yuran Kelab",Transaksi!E:E,A14)</f>
        <v/>
      </c>
      <c r="C14" s="33">
        <f>MAX(0,DATEDIF(Tetapan!B14,IF(Tetapan!C14="",TODAY(),MIN(Tetapan!C14,TODAY())),"M")+1)*Tetapan!D14</f>
        <v/>
      </c>
      <c r="D14" s="33">
        <f>MAX(0,C14-B14)</f>
        <v/>
      </c>
      <c r="E14" s="33">
        <f>SUMIFS(Transaksi!G:G,Transaksi!C:C,"Masuk",Transaksi!D:D,"Yuran Lawatan",Transaksi!E:E,A14)-SUMIFS(Transaksi!G:G,Transaksi!C:C,"Keluar",Transaksi!D:D,"Refund",Transaksi!E:E,A14)</f>
        <v/>
      </c>
      <c r="F14" s="33">
        <f>MAX(0,DATEDIF(Tetapan!B14,IF(Tetapan!C14="",Tetapan!$B$21,MIN(Tetapan!C14,Tetapan!$B$21)),"M")+1)*Tetapan!E14</f>
        <v/>
      </c>
      <c r="G14" s="33">
        <f>MAX(0,F14-E14)</f>
        <v/>
      </c>
      <c r="H14" s="33">
        <f>D14+G14</f>
        <v/>
      </c>
      <c r="I14" s="34">
        <f>IF(H14=0,"Selesai","Tunggak")</f>
        <v/>
      </c>
    </row>
    <row r="15">
      <c r="A15" s="32">
        <f>Tetapan!A15</f>
        <v/>
      </c>
      <c r="B15" s="33">
        <f>SUMIFS(Transaksi!G:G,Transaksi!C:C,"Masuk",Transaksi!D:D,"Yuran Kelab",Transaksi!E:E,A15)</f>
        <v/>
      </c>
      <c r="C15" s="33">
        <f>MAX(0,DATEDIF(Tetapan!B15,IF(Tetapan!C15="",TODAY(),MIN(Tetapan!C15,TODAY())),"M")+1)*Tetapan!D15</f>
        <v/>
      </c>
      <c r="D15" s="33">
        <f>MAX(0,C15-B15)</f>
        <v/>
      </c>
      <c r="E15" s="33">
        <f>SUMIFS(Transaksi!G:G,Transaksi!C:C,"Masuk",Transaksi!D:D,"Yuran Lawatan",Transaksi!E:E,A15)-SUMIFS(Transaksi!G:G,Transaksi!C:C,"Keluar",Transaksi!D:D,"Refund",Transaksi!E:E,A15)</f>
        <v/>
      </c>
      <c r="F15" s="33">
        <f>MAX(0,DATEDIF(Tetapan!B15,IF(Tetapan!C15="",Tetapan!$B$21,MIN(Tetapan!C15,Tetapan!$B$21)),"M")+1)*Tetapan!E15</f>
        <v/>
      </c>
      <c r="G15" s="33">
        <f>MAX(0,F15-E15)</f>
        <v/>
      </c>
      <c r="H15" s="33">
        <f>D15+G15</f>
        <v/>
      </c>
      <c r="I15" s="34">
        <f>IF(H15=0,"Selesai","Tunggak")</f>
        <v/>
      </c>
    </row>
    <row r="16">
      <c r="A16" s="32">
        <f>Tetapan!A16</f>
        <v/>
      </c>
      <c r="B16" s="33">
        <f>SUMIFS(Transaksi!G:G,Transaksi!C:C,"Masuk",Transaksi!D:D,"Yuran Kelab",Transaksi!E:E,A16)</f>
        <v/>
      </c>
      <c r="C16" s="33">
        <f>MAX(0,DATEDIF(Tetapan!B16,IF(Tetapan!C16="",TODAY(),MIN(Tetapan!C16,TODAY())),"M")+1)*Tetapan!D16</f>
        <v/>
      </c>
      <c r="D16" s="33">
        <f>MAX(0,C16-B16)</f>
        <v/>
      </c>
      <c r="E16" s="33">
        <f>SUMIFS(Transaksi!G:G,Transaksi!C:C,"Masuk",Transaksi!D:D,"Yuran Lawatan",Transaksi!E:E,A16)-SUMIFS(Transaksi!G:G,Transaksi!C:C,"Keluar",Transaksi!D:D,"Refund",Transaksi!E:E,A16)</f>
        <v/>
      </c>
      <c r="F16" s="33">
        <f>MAX(0,DATEDIF(Tetapan!B16,IF(Tetapan!C16="",Tetapan!$B$21,MIN(Tetapan!C16,Tetapan!$B$21)),"M")+1)*Tetapan!E16</f>
        <v/>
      </c>
      <c r="G16" s="33">
        <f>MAX(0,F16-E16)</f>
        <v/>
      </c>
      <c r="H16" s="33">
        <f>D16+G16</f>
        <v/>
      </c>
      <c r="I16" s="34">
        <f>IF(H16=0,"Selesai","Tunggak")</f>
        <v/>
      </c>
    </row>
    <row r="17">
      <c r="A17" s="32">
        <f>Tetapan!A17</f>
        <v/>
      </c>
      <c r="B17" s="33">
        <f>SUMIFS(Transaksi!G:G,Transaksi!C:C,"Masuk",Transaksi!D:D,"Yuran Kelab",Transaksi!E:E,A17)</f>
        <v/>
      </c>
      <c r="C17" s="33">
        <f>MAX(0,DATEDIF(Tetapan!B17,IF(Tetapan!C17="",TODAY(),MIN(Tetapan!C17,TODAY())),"M")+1)*Tetapan!D17</f>
        <v/>
      </c>
      <c r="D17" s="33">
        <f>MAX(0,C17-B17)</f>
        <v/>
      </c>
      <c r="E17" s="33">
        <f>SUMIFS(Transaksi!G:G,Transaksi!C:C,"Masuk",Transaksi!D:D,"Yuran Lawatan",Transaksi!E:E,A17)-SUMIFS(Transaksi!G:G,Transaksi!C:C,"Keluar",Transaksi!D:D,"Refund",Transaksi!E:E,A17)</f>
        <v/>
      </c>
      <c r="F17" s="33">
        <f>MAX(0,DATEDIF(Tetapan!B17,IF(Tetapan!C17="",Tetapan!$B$21,MIN(Tetapan!C17,Tetapan!$B$21)),"M")+1)*Tetapan!E17</f>
        <v/>
      </c>
      <c r="G17" s="33">
        <f>MAX(0,F17-E17)</f>
        <v/>
      </c>
      <c r="H17" s="33">
        <f>D17+G17</f>
        <v/>
      </c>
      <c r="I17" s="34">
        <f>IF(H17=0,"Selesai","Tunggak")</f>
        <v/>
      </c>
    </row>
    <row r="18">
      <c r="A18" s="32">
        <f>Tetapan!A18</f>
        <v/>
      </c>
      <c r="B18" s="33">
        <f>SUMIFS(Transaksi!G:G,Transaksi!C:C,"Masuk",Transaksi!D:D,"Yuran Kelab",Transaksi!E:E,A18)</f>
        <v/>
      </c>
      <c r="C18" s="33">
        <f>MAX(0,DATEDIF(Tetapan!B18,IF(Tetapan!C18="",TODAY(),MIN(Tetapan!C18,TODAY())),"M")+1)*Tetapan!D18</f>
        <v/>
      </c>
      <c r="D18" s="33">
        <f>MAX(0,C18-B18)</f>
        <v/>
      </c>
      <c r="E18" s="33">
        <f>SUMIFS(Transaksi!G:G,Transaksi!C:C,"Masuk",Transaksi!D:D,"Yuran Lawatan",Transaksi!E:E,A18)-SUMIFS(Transaksi!G:G,Transaksi!C:C,"Keluar",Transaksi!D:D,"Refund",Transaksi!E:E,A18)</f>
        <v/>
      </c>
      <c r="F18" s="33">
        <f>MAX(0,DATEDIF(Tetapan!B18,IF(Tetapan!C18="",Tetapan!$B$21,MIN(Tetapan!C18,Tetapan!$B$21)),"M")+1)*Tetapan!E18</f>
        <v/>
      </c>
      <c r="G18" s="33">
        <f>MAX(0,F18-E18)</f>
        <v/>
      </c>
      <c r="H18" s="33">
        <f>D18+G18</f>
        <v/>
      </c>
      <c r="I18" s="34">
        <f>IF(H18=0,"Selesai","Tunggak")</f>
        <v/>
      </c>
    </row>
    <row r="19">
      <c r="A19" s="32">
        <f>Tetapan!A19</f>
        <v/>
      </c>
      <c r="B19" s="33">
        <f>SUMIFS(Transaksi!G:G,Transaksi!C:C,"Masuk",Transaksi!D:D,"Yuran Kelab",Transaksi!E:E,A19)</f>
        <v/>
      </c>
      <c r="C19" s="33">
        <f>MAX(0,DATEDIF(Tetapan!B19,IF(Tetapan!C19="",TODAY(),MIN(Tetapan!C19,TODAY())),"M")+1)*Tetapan!D19</f>
        <v/>
      </c>
      <c r="D19" s="33">
        <f>MAX(0,C19-B19)</f>
        <v/>
      </c>
      <c r="E19" s="33">
        <f>SUMIFS(Transaksi!G:G,Transaksi!C:C,"Masuk",Transaksi!D:D,"Yuran Lawatan",Transaksi!E:E,A19)-SUMIFS(Transaksi!G:G,Transaksi!C:C,"Keluar",Transaksi!D:D,"Refund",Transaksi!E:E,A19)</f>
        <v/>
      </c>
      <c r="F19" s="33">
        <f>MAX(0,DATEDIF(Tetapan!B19,IF(Tetapan!C19="",Tetapan!$B$21,MIN(Tetapan!C19,Tetapan!$B$21)),"M")+1)*Tetapan!E19</f>
        <v/>
      </c>
      <c r="G19" s="33">
        <f>MAX(0,F19-E19)</f>
        <v/>
      </c>
      <c r="H19" s="33">
        <f>D19+G19</f>
        <v/>
      </c>
      <c r="I19" s="34">
        <f>IF(H19=0,"Selesai","Tunggak")</f>
        <v/>
      </c>
    </row>
    <row r="20">
      <c r="A20" s="19" t="inlineStr">
        <is>
          <t>Jumlah</t>
        </is>
      </c>
      <c r="B20" s="20">
        <f>SUM(B5:B19)</f>
        <v/>
      </c>
      <c r="C20" s="20">
        <f>SUM(C5:C19)</f>
        <v/>
      </c>
      <c r="D20" s="20">
        <f>SUM(D5:D19)</f>
        <v/>
      </c>
      <c r="E20" s="20">
        <f>SUM(E5:E19)</f>
        <v/>
      </c>
      <c r="F20" s="20">
        <f>SUM(F5:F19)</f>
        <v/>
      </c>
      <c r="G20" s="20">
        <f>SUM(G5:G19)</f>
        <v/>
      </c>
      <c r="H20" s="20">
        <f>SUM(H5:H19)</f>
        <v/>
      </c>
      <c r="I20" s="21" t="n"/>
    </row>
  </sheetData>
  <mergeCells count="2">
    <mergeCell ref="A1:J1"/>
    <mergeCell ref="A2:J2"/>
  </mergeCells>
  <conditionalFormatting sqref="I5:I19">
    <cfRule type="cellIs" priority="1" operator="equal" dxfId="1">
      <formula>"Selesai"</formula>
    </cfRule>
    <cfRule type="cellIs" priority="2" operator="equal" dxfId="2">
      <formula>"Tunggak"</formula>
    </cfRule>
  </conditionalFormatting>
  <conditionalFormatting sqref="H5:H19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64748B"/>
    <outlinePr summaryBelow="1" summaryRight="1"/>
    <pageSetUpPr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5" customWidth="1" min="4" max="4"/>
    <col width="16" customWidth="1" min="5" max="5"/>
    <col width="8" customWidth="1" min="6" max="6"/>
    <col width="52" customWidth="1" min="7" max="7"/>
    <col width="3" customWidth="1" min="8" max="8"/>
    <col width="20" customWidth="1" min="9" max="9"/>
    <col width="22" customWidth="1" min="10" max="10"/>
  </cols>
  <sheetData>
    <row r="1" ht="36" customHeight="1">
      <c r="A1" s="1" t="inlineStr">
        <is>
          <t>Tetapan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3" t="inlineStr">
        <is>
          <t>Senarai ahli, kadar yuran dan kategori. Aplikasi membaca senarai ini.</t>
        </is>
      </c>
      <c r="B2" s="2" t="n"/>
      <c r="C2" s="2" t="n"/>
      <c r="D2" s="2" t="n"/>
      <c r="E2" s="2" t="n"/>
      <c r="F2" s="2" t="n"/>
      <c r="G2" s="2" t="n"/>
      <c r="H2" s="2" t="n"/>
    </row>
    <row r="4" ht="26" customHeight="1">
      <c r="A4" s="11" t="inlineStr">
        <is>
          <t>Ahli</t>
        </is>
      </c>
      <c r="B4" s="11" t="inlineStr">
        <is>
          <t>Mula</t>
        </is>
      </c>
      <c r="C4" s="11" t="inlineStr">
        <is>
          <t>Tamat</t>
        </is>
      </c>
      <c r="D4" s="11" t="inlineStr">
        <is>
          <t>Kelab / bulan</t>
        </is>
      </c>
      <c r="E4" s="11" t="inlineStr">
        <is>
          <t>Lawatan / bulan</t>
        </is>
      </c>
      <c r="F4" s="11" t="inlineStr">
        <is>
          <t>Aktif</t>
        </is>
      </c>
      <c r="G4" s="11" t="inlineStr">
        <is>
          <t>Catatan</t>
        </is>
      </c>
      <c r="I4" s="11" t="inlineStr">
        <is>
          <t>Kategori Masuk</t>
        </is>
      </c>
      <c r="J4" s="11" t="inlineStr">
        <is>
          <t>Kategori Keluar</t>
        </is>
      </c>
    </row>
    <row r="5">
      <c r="A5" s="35" t="inlineStr">
        <is>
          <t>Amir</t>
        </is>
      </c>
      <c r="B5" s="36" t="n">
        <v>45809</v>
      </c>
      <c r="C5" s="36" t="n"/>
      <c r="D5" s="33" t="n">
        <v>35</v>
      </c>
      <c r="E5" s="33" t="n">
        <v>50</v>
      </c>
      <c r="F5" s="35" t="inlineStr">
        <is>
          <t>Ya</t>
        </is>
      </c>
      <c r="G5" s="35" t="n"/>
      <c r="I5" s="37" t="inlineStr">
        <is>
          <t>Yuran Kelab</t>
        </is>
      </c>
      <c r="J5" s="37" t="inlineStr">
        <is>
          <t>Duit Pantri</t>
        </is>
      </c>
    </row>
    <row r="6">
      <c r="A6" s="35" t="inlineStr">
        <is>
          <t>Asnawi</t>
        </is>
      </c>
      <c r="B6" s="36" t="n">
        <v>45809</v>
      </c>
      <c r="C6" s="36" t="n"/>
      <c r="D6" s="33" t="n">
        <v>35</v>
      </c>
      <c r="E6" s="33" t="n">
        <v>50</v>
      </c>
      <c r="F6" s="35" t="inlineStr">
        <is>
          <t>Ya</t>
        </is>
      </c>
      <c r="G6" s="35" t="n"/>
      <c r="I6" s="37" t="inlineStr">
        <is>
          <t>Yuran Lawatan</t>
        </is>
      </c>
      <c r="J6" s="37" t="inlineStr">
        <is>
          <t>Lawatan / Trip</t>
        </is>
      </c>
    </row>
    <row r="7">
      <c r="A7" s="35" t="inlineStr">
        <is>
          <t>Bang Mie</t>
        </is>
      </c>
      <c r="B7" s="36" t="n">
        <v>45809</v>
      </c>
      <c r="C7" s="36" t="n"/>
      <c r="D7" s="33" t="n">
        <v>35</v>
      </c>
      <c r="E7" s="33" t="n">
        <v>50</v>
      </c>
      <c r="F7" s="35" t="inlineStr">
        <is>
          <t>Ya</t>
        </is>
      </c>
      <c r="G7" s="35" t="n"/>
      <c r="I7" s="37" t="inlineStr">
        <is>
          <t>Majlis</t>
        </is>
      </c>
      <c r="J7" s="37" t="inlineStr">
        <is>
          <t>Majlis &amp; Hadiah</t>
        </is>
      </c>
    </row>
    <row r="8">
      <c r="A8" s="35" t="inlineStr">
        <is>
          <t>Boss Khairil</t>
        </is>
      </c>
      <c r="B8" s="36" t="n">
        <v>45809</v>
      </c>
      <c r="C8" s="36" t="n">
        <v>45901</v>
      </c>
      <c r="D8" s="33" t="n">
        <v>35</v>
      </c>
      <c r="E8" s="33" t="n">
        <v>50</v>
      </c>
      <c r="F8" s="35" t="inlineStr">
        <is>
          <t>Tidak</t>
        </is>
      </c>
      <c r="G8" s="35" t="n"/>
      <c r="I8" s="37" t="inlineStr">
        <is>
          <t>Sumbangan</t>
        </is>
      </c>
      <c r="J8" s="37" t="inlineStr">
        <is>
          <t>Pakaian</t>
        </is>
      </c>
    </row>
    <row r="9">
      <c r="A9" s="35" t="inlineStr">
        <is>
          <t>Boss Wan</t>
        </is>
      </c>
      <c r="B9" s="36" t="n">
        <v>45809</v>
      </c>
      <c r="C9" s="36" t="n"/>
      <c r="D9" s="33" t="n">
        <v>35</v>
      </c>
      <c r="E9" s="33" t="n">
        <v>50</v>
      </c>
      <c r="F9" s="35" t="inlineStr">
        <is>
          <t>Ya</t>
        </is>
      </c>
      <c r="G9" s="35" t="n"/>
      <c r="I9" s="37" t="inlineStr">
        <is>
          <t>Lain-lain</t>
        </is>
      </c>
      <c r="J9" s="37" t="inlineStr">
        <is>
          <t>Langganan / Bahan</t>
        </is>
      </c>
    </row>
    <row r="10">
      <c r="A10" s="35" t="inlineStr">
        <is>
          <t>Chang</t>
        </is>
      </c>
      <c r="B10" s="36" t="n">
        <v>45809</v>
      </c>
      <c r="C10" s="36" t="n"/>
      <c r="D10" s="33" t="n">
        <v>35</v>
      </c>
      <c r="E10" s="33" t="n">
        <v>50</v>
      </c>
      <c r="F10" s="35" t="inlineStr">
        <is>
          <t>Ya</t>
        </is>
      </c>
      <c r="G10" s="35" t="n"/>
      <c r="J10" s="37" t="inlineStr">
        <is>
          <t>Refund</t>
        </is>
      </c>
    </row>
    <row r="11">
      <c r="A11" s="35" t="inlineStr">
        <is>
          <t>Hadi</t>
        </is>
      </c>
      <c r="B11" s="36" t="n">
        <v>45809</v>
      </c>
      <c r="C11" s="36" t="n"/>
      <c r="D11" s="33" t="n">
        <v>35</v>
      </c>
      <c r="E11" s="33" t="n">
        <v>50</v>
      </c>
      <c r="F11" s="35" t="inlineStr">
        <is>
          <t>Ya</t>
        </is>
      </c>
      <c r="G11" s="35" t="n"/>
      <c r="J11" s="37" t="inlineStr">
        <is>
          <t>Pelbagai</t>
        </is>
      </c>
    </row>
    <row r="12">
      <c r="A12" s="35" t="inlineStr">
        <is>
          <t>Hasnol</t>
        </is>
      </c>
      <c r="B12" s="36" t="n">
        <v>45809</v>
      </c>
      <c r="C12" s="36" t="n"/>
      <c r="D12" s="33" t="n">
        <v>35</v>
      </c>
      <c r="E12" s="33" t="n">
        <v>50</v>
      </c>
      <c r="F12" s="35" t="inlineStr">
        <is>
          <t>Ya</t>
        </is>
      </c>
      <c r="G12" s="35" t="n"/>
    </row>
    <row r="13">
      <c r="A13" s="35" t="inlineStr">
        <is>
          <t>Joe</t>
        </is>
      </c>
      <c r="B13" s="36" t="n">
        <v>45809</v>
      </c>
      <c r="C13" s="36" t="n"/>
      <c r="D13" s="33" t="n">
        <v>35</v>
      </c>
      <c r="E13" s="33" t="n">
        <v>50</v>
      </c>
      <c r="F13" s="35" t="inlineStr">
        <is>
          <t>Ya</t>
        </is>
      </c>
      <c r="G13" s="35" t="n"/>
    </row>
    <row r="14">
      <c r="A14" s="35" t="inlineStr">
        <is>
          <t>Khairiri</t>
        </is>
      </c>
      <c r="B14" s="36" t="n">
        <v>45809</v>
      </c>
      <c r="C14" s="36" t="n"/>
      <c r="D14" s="33" t="n">
        <v>35</v>
      </c>
      <c r="E14" s="33" t="n">
        <v>50</v>
      </c>
      <c r="F14" s="35" t="inlineStr">
        <is>
          <t>Ya</t>
        </is>
      </c>
      <c r="G14" s="35" t="n"/>
    </row>
    <row r="15">
      <c r="A15" s="35" t="inlineStr">
        <is>
          <t>Kuchai</t>
        </is>
      </c>
      <c r="B15" s="36" t="n">
        <v>45809</v>
      </c>
      <c r="C15" s="36" t="n"/>
      <c r="D15" s="33" t="n">
        <v>35</v>
      </c>
      <c r="E15" s="33" t="n">
        <v>0</v>
      </c>
      <c r="F15" s="35" t="inlineStr">
        <is>
          <t>Ya</t>
        </is>
      </c>
      <c r="G15" s="35" t="inlineStr">
        <is>
          <t>Tiada kutipan lawatan (refund 400 Jan 2026) - semak</t>
        </is>
      </c>
    </row>
    <row r="16">
      <c r="A16" s="35" t="inlineStr">
        <is>
          <t>Suhaimi</t>
        </is>
      </c>
      <c r="B16" s="36" t="n">
        <v>45809</v>
      </c>
      <c r="C16" s="36" t="n">
        <v>45870</v>
      </c>
      <c r="D16" s="33" t="n">
        <v>35</v>
      </c>
      <c r="E16" s="33" t="n">
        <v>50</v>
      </c>
      <c r="F16" s="35" t="inlineStr">
        <is>
          <t>Tidak</t>
        </is>
      </c>
      <c r="G16" s="35" t="n"/>
    </row>
    <row r="17">
      <c r="A17" s="35" t="inlineStr">
        <is>
          <t>Ustaz</t>
        </is>
      </c>
      <c r="B17" s="36" t="n">
        <v>45809</v>
      </c>
      <c r="C17" s="36" t="n"/>
      <c r="D17" s="33" t="n">
        <v>35</v>
      </c>
      <c r="E17" s="33" t="n">
        <v>50</v>
      </c>
      <c r="F17" s="35" t="inlineStr">
        <is>
          <t>Ya</t>
        </is>
      </c>
      <c r="G17" s="35" t="n"/>
    </row>
    <row r="18">
      <c r="A18" s="35" t="inlineStr">
        <is>
          <t>Wafi</t>
        </is>
      </c>
      <c r="B18" s="36" t="n">
        <v>45809</v>
      </c>
      <c r="C18" s="36" t="n">
        <v>46082</v>
      </c>
      <c r="D18" s="33" t="n">
        <v>35</v>
      </c>
      <c r="E18" s="33" t="n">
        <v>0</v>
      </c>
      <c r="F18" s="35" t="inlineStr">
        <is>
          <t>Tidak</t>
        </is>
      </c>
      <c r="G18" s="35" t="inlineStr">
        <is>
          <t>Lawatan diuruskan berasingan (Bayaran Lebih Lawatan) - semak</t>
        </is>
      </c>
    </row>
    <row r="19">
      <c r="A19" s="35" t="inlineStr">
        <is>
          <t>Aiman</t>
        </is>
      </c>
      <c r="B19" s="36" t="n">
        <v>45992</v>
      </c>
      <c r="C19" s="36" t="n"/>
      <c r="D19" s="33" t="n">
        <v>35</v>
      </c>
      <c r="E19" s="33" t="n">
        <v>50</v>
      </c>
      <c r="F19" s="35" t="inlineStr">
        <is>
          <t>Ya</t>
        </is>
      </c>
      <c r="G19" s="35" t="n"/>
    </row>
    <row r="21">
      <c r="A21" s="38" t="inlineStr">
        <is>
          <t>Lawatan dikutip sehingga</t>
        </is>
      </c>
      <c r="B21" s="39" t="n">
        <v>46054</v>
      </c>
    </row>
    <row r="22">
      <c r="A22" s="38" t="inlineStr">
        <is>
          <t>Tarikh mula rekod</t>
        </is>
      </c>
      <c r="B22" s="39" t="n">
        <v>45809</v>
      </c>
    </row>
    <row r="24">
      <c r="A24" s="40" t="inlineStr">
        <is>
          <t>Kolum kuning / jadual ahli boleh diubah. Tarikh 'Mula' dan 'Tamat' hanyalah anggaran dari data lama - semak semula.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2026-10-10T08:10:49Z</dcterms:created>
  <dcterms:modified xmlns:dcterms="http://purl.org/dc/terms/" xmlns:xsi="http://www.w3.org/2001/XMLSchema-instance" xsi:type="dcterms:W3CDTF">2026-10-10T08:10:50Z</dcterms:modified>
</cp:coreProperties>
</file>